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inicius Pereira\Dropbox\Excel\Excels\"/>
    </mc:Choice>
  </mc:AlternateContent>
  <xr:revisionPtr revIDLastSave="0" documentId="13_ncr:1_{19908E7D-83B8-40F7-8F69-6679C1FAD132}" xr6:coauthVersionLast="45" xr6:coauthVersionMax="46" xr10:uidLastSave="{00000000-0000-0000-0000-000000000000}"/>
  <bookViews>
    <workbookView xWindow="-120" yWindow="-120" windowWidth="20730" windowHeight="11160" activeTab="2" xr2:uid="{00000000-000D-0000-FFFF-FFFF00000000}"/>
  </bookViews>
  <sheets>
    <sheet name="Índice" sheetId="10" r:id="rId1"/>
    <sheet name="Dashboard" sheetId="8" r:id="rId2"/>
    <sheet name="Tabelas de Análise" sheetId="7" r:id="rId3"/>
    <sheet name="Base de Dados" sheetId="1" r:id="rId4"/>
    <sheet name="Tabelas de Apoio" sheetId="9" r:id="rId5"/>
  </sheets>
  <definedNames>
    <definedName name="seg_Ano">#N/A</definedName>
    <definedName name="seg_Departmento">#N/A</definedName>
    <definedName name="seg_genero">#N/A</definedName>
    <definedName name="seg_Idade">#N/A</definedName>
    <definedName name="seg_LocalDano">#N/A</definedName>
    <definedName name="seg_Localização">#N/A</definedName>
    <definedName name="seg_Mês">#N/A</definedName>
    <definedName name="seg_Tipo">#N/A</definedName>
    <definedName name="seg_Turno">#N/A</definedName>
  </definedNames>
  <calcPr calcId="181029"/>
  <pivotCaches>
    <pivotCache cacheId="24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" i="9" l="1"/>
  <c r="J13" i="9"/>
  <c r="J14" i="9"/>
  <c r="K17" i="9"/>
  <c r="K5" i="9" l="1"/>
  <c r="J5" i="9" s="1"/>
  <c r="K6" i="9"/>
  <c r="J6" i="9" s="1"/>
  <c r="K7" i="9"/>
  <c r="J7" i="9" s="1"/>
  <c r="K9" i="9"/>
  <c r="J9" i="9" s="1"/>
  <c r="K10" i="9"/>
  <c r="J10" i="9" s="1"/>
  <c r="K11" i="9"/>
  <c r="J11" i="9" s="1"/>
  <c r="K12" i="9"/>
  <c r="J12" i="9" s="1"/>
  <c r="K15" i="9"/>
  <c r="J15" i="9" s="1"/>
  <c r="K16" i="9"/>
  <c r="J16" i="9" s="1"/>
  <c r="F7" i="9" l="1"/>
  <c r="D13" i="9" s="1"/>
  <c r="F6" i="9"/>
  <c r="D12" i="9" s="1"/>
  <c r="F5" i="9"/>
  <c r="D11" i="9" s="1"/>
  <c r="F4" i="9"/>
  <c r="D10" i="9" s="1"/>
  <c r="B4" i="9"/>
  <c r="B5" i="9"/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</calcChain>
</file>

<file path=xl/sharedStrings.xml><?xml version="1.0" encoding="utf-8"?>
<sst xmlns="http://schemas.openxmlformats.org/spreadsheetml/2006/main" count="4284" uniqueCount="107">
  <si>
    <t>Month</t>
  </si>
  <si>
    <t>Year</t>
  </si>
  <si>
    <t>Gender</t>
  </si>
  <si>
    <t>Age Group</t>
  </si>
  <si>
    <t>Incident Type</t>
  </si>
  <si>
    <t>Plant</t>
  </si>
  <si>
    <t>Report Type</t>
  </si>
  <si>
    <t>Shift</t>
  </si>
  <si>
    <t>Department</t>
  </si>
  <si>
    <t>Incident Cost</t>
  </si>
  <si>
    <t>25-34</t>
  </si>
  <si>
    <t>Iowa</t>
  </si>
  <si>
    <t>Painting</t>
  </si>
  <si>
    <t>N/A</t>
  </si>
  <si>
    <t>35-49</t>
  </si>
  <si>
    <t>Alabama</t>
  </si>
  <si>
    <t>Fabrication</t>
  </si>
  <si>
    <t>18-24</t>
  </si>
  <si>
    <t>Georgia</t>
  </si>
  <si>
    <t>Administration</t>
  </si>
  <si>
    <t>50+</t>
  </si>
  <si>
    <t>Ohio</t>
  </si>
  <si>
    <t>Security</t>
  </si>
  <si>
    <t>Purchasing</t>
  </si>
  <si>
    <t>California</t>
  </si>
  <si>
    <t>Florida</t>
  </si>
  <si>
    <t>Maintenance</t>
  </si>
  <si>
    <t>Shipping</t>
  </si>
  <si>
    <t>Finishing</t>
  </si>
  <si>
    <t>Texas</t>
  </si>
  <si>
    <t>Montana</t>
  </si>
  <si>
    <t>Melting</t>
  </si>
  <si>
    <t>Illinois</t>
  </si>
  <si>
    <t>Abdomen</t>
  </si>
  <si>
    <t>Data</t>
  </si>
  <si>
    <t>ID</t>
  </si>
  <si>
    <t>Número de incidentes por TIPO</t>
  </si>
  <si>
    <t>Rótulos de Linha</t>
  </si>
  <si>
    <t>Total Geral</t>
  </si>
  <si>
    <t>Contagem de ID</t>
  </si>
  <si>
    <t>Tipo</t>
  </si>
  <si>
    <t>Quantidade</t>
  </si>
  <si>
    <t>Departamento / turno</t>
  </si>
  <si>
    <t>Número de incidentes por  Departamento / Turno</t>
  </si>
  <si>
    <t>Soma de Incident Cost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</si>
  <si>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</si>
  <si>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</si>
  <si>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</si>
  <si>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</si>
  <si>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</si>
  <si>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</si>
  <si>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</si>
  <si>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</si>
  <si>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</si>
  <si>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</si>
  <si>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</si>
  <si>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</si>
  <si>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Injured part</t>
  </si>
  <si>
    <t>% de incidentes por planta</t>
  </si>
  <si>
    <t>Dias perdidos por planta</t>
  </si>
  <si>
    <t>Custo por mês</t>
  </si>
  <si>
    <t>Quase Acidente</t>
  </si>
  <si>
    <t>Tempo perdido</t>
  </si>
  <si>
    <t>Primeiros-socorros</t>
  </si>
  <si>
    <t>Licença-médica</t>
  </si>
  <si>
    <t>Soma de Dias e Custo Total</t>
  </si>
  <si>
    <t>Dias</t>
  </si>
  <si>
    <t>Custo Total</t>
  </si>
  <si>
    <t>Incidentes por tipo</t>
  </si>
  <si>
    <t>Tarde</t>
  </si>
  <si>
    <t>Vespertino</t>
  </si>
  <si>
    <t>Noturno</t>
  </si>
  <si>
    <t>Dias Perdidos</t>
  </si>
  <si>
    <t>Soma de Dias Perdidos</t>
  </si>
  <si>
    <t>Masculino</t>
  </si>
  <si>
    <t>Feminino</t>
  </si>
  <si>
    <t>Dia</t>
  </si>
  <si>
    <t>Número de incidentes por report</t>
  </si>
  <si>
    <t>Numero de incidentes por causa</t>
  </si>
  <si>
    <t>Queimadura</t>
  </si>
  <si>
    <t>Queda de Objeto</t>
  </si>
  <si>
    <t>Queda</t>
  </si>
  <si>
    <t>Veículo</t>
  </si>
  <si>
    <t>Equipamento</t>
  </si>
  <si>
    <t>Escorregamento</t>
  </si>
  <si>
    <t>Corte</t>
  </si>
  <si>
    <t>Esmagamento</t>
  </si>
  <si>
    <t>Peso</t>
  </si>
  <si>
    <t>Primeiros-Socorros</t>
  </si>
  <si>
    <t>Licença-Médica</t>
  </si>
  <si>
    <t>Pernas</t>
  </si>
  <si>
    <t>Pescoço</t>
  </si>
  <si>
    <t>Múltiplos</t>
  </si>
  <si>
    <t>Pés</t>
  </si>
  <si>
    <t>Cabeça</t>
  </si>
  <si>
    <t>Braços</t>
  </si>
  <si>
    <t>Tronco</t>
  </si>
  <si>
    <t>-</t>
  </si>
  <si>
    <t>Validação (gráfico do corpo)</t>
  </si>
  <si>
    <t>NÃO ALTERAR POSIÇÃO DAS TABELAS!</t>
  </si>
  <si>
    <t>Número de incidentes por Local</t>
  </si>
  <si>
    <t>Concatenações</t>
  </si>
  <si>
    <t>Local do Corpo</t>
  </si>
  <si>
    <t>Valor</t>
  </si>
  <si>
    <t>Validador</t>
  </si>
  <si>
    <t>Total do Valores</t>
  </si>
  <si>
    <t>Não alterar local das Tabelas Dinâmicas!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</si>
</sst>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R$&quot;\ * #,##0.00_-;\-&quot;R$&quot;\ * #,##0.00_-;_-&quot;R$&quot;\ * &quot;-&quot;??_-;_-@_-"/>
    <numFmt numFmtId="165" formatCode="&quot;$&quot;#,##0_);[Red]\(&quot;$&quot;#,##0\)"/>
    <numFmt numFmtId="166" formatCode="[$-409]d\-mmm\-yy;@"/>
    <numFmt numFmtId="167" formatCode="_-&quot;R$&quot;\ * #,##0_-;\-&quot;R$&quot;\ * #,##0_-;_-&quot;R$&quot;\ * &quot;-&quot;??_-;_-@_-"/>
    <numFmt numFmtId="168" formatCode="_-[$$-409]* #,##0_ ;_-[$$-409]* \-#,##0\ ;_-[$$-409]* &quot;-&quot;??_ ;_-@_ "/>
  </numFmts>
  <fonts count="12" x14ac:knownFonts="1">
    <font>
      <sz val="11"/>
      <color theme="1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3E2F1"/>
        <bgColor indexed="64"/>
      </patternFill>
    </fill>
    <fill>
      <patternFill patternType="solid">
        <fgColor rgb="FFE8F0F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horizontal="left" indent="1"/>
    </xf>
    <xf numFmtId="0" fontId="5" fillId="0" borderId="0"/>
    <xf numFmtId="164" fontId="5" fillId="0" borderId="0" applyFont="0" applyFill="0" applyBorder="0" applyAlignment="0" applyProtection="0"/>
  </cellStyleXfs>
  <cellXfs count="62">
    <xf numFmtId="0" fontId="0" fillId="0" borderId="0" xfId="0"/>
    <xf numFmtId="0" fontId="3" fillId="0" borderId="0" xfId="0" applyFont="1"/>
    <xf numFmtId="166" fontId="4" fillId="0" borderId="0" xfId="0" applyNumberFormat="1" applyFont="1"/>
    <xf numFmtId="0" fontId="4" fillId="0" borderId="0" xfId="0" applyFont="1"/>
    <xf numFmtId="165" fontId="4" fillId="0" borderId="0" xfId="0" applyNumberFormat="1" applyFont="1"/>
    <xf numFmtId="0" fontId="2" fillId="0" borderId="0" xfId="0" applyFont="1" applyAlignment="1" applyProtection="1">
      <alignment vertical="center" wrapText="1"/>
      <protection locked="0"/>
    </xf>
    <xf numFmtId="0" fontId="7" fillId="4" borderId="0" xfId="0" applyFont="1" applyFill="1" applyAlignment="1" applyProtection="1">
      <alignment horizontal="left" vertical="center" wrapText="1"/>
      <protection locked="0"/>
    </xf>
    <xf numFmtId="0" fontId="8" fillId="3" borderId="0" xfId="0" applyNumberFormat="1" applyFont="1" applyFill="1" applyAlignment="1" applyProtection="1">
      <alignment horizontal="left"/>
    </xf>
    <xf numFmtId="166" fontId="8" fillId="3" borderId="0" xfId="0" applyNumberFormat="1" applyFont="1" applyFill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Fill="1" applyBorder="1" applyAlignment="1"/>
    <xf numFmtId="167" fontId="0" fillId="0" borderId="0" xfId="0" applyNumberFormat="1"/>
    <xf numFmtId="0" fontId="2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0" applyNumberFormat="1"/>
    <xf numFmtId="168" fontId="9" fillId="0" borderId="0" xfId="0" applyNumberFormat="1" applyFont="1"/>
    <xf numFmtId="0" fontId="9" fillId="0" borderId="0" xfId="0" applyFont="1"/>
    <xf numFmtId="0" fontId="0" fillId="5" borderId="0" xfId="0" applyFill="1"/>
    <xf numFmtId="0" fontId="0" fillId="0" borderId="0" xfId="0" applyFill="1" applyBorder="1" applyAlignment="1"/>
    <xf numFmtId="0" fontId="0" fillId="0" borderId="3" xfId="0" applyBorder="1"/>
    <xf numFmtId="167" fontId="0" fillId="0" borderId="3" xfId="0" applyNumberFormat="1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 indent="1"/>
    </xf>
    <xf numFmtId="167" fontId="0" fillId="0" borderId="0" xfId="3" applyNumberFormat="1" applyFo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10" fillId="6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top"/>
    </xf>
    <xf numFmtId="0" fontId="0" fillId="3" borderId="2" xfId="0" applyFill="1" applyBorder="1" applyAlignment="1">
      <alignment horizontal="center" vertical="top"/>
    </xf>
    <xf numFmtId="0" fontId="6" fillId="4" borderId="10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167" fontId="11" fillId="3" borderId="1" xfId="3" applyNumberFormat="1" applyFont="1" applyFill="1" applyBorder="1" applyAlignment="1">
      <alignment horizontal="center" vertical="center"/>
    </xf>
    <xf numFmtId="167" fontId="11" fillId="3" borderId="4" xfId="3" applyNumberFormat="1" applyFont="1" applyFill="1" applyBorder="1" applyAlignment="1">
      <alignment horizontal="center" vertical="center"/>
    </xf>
    <xf numFmtId="167" fontId="11" fillId="3" borderId="2" xfId="3" applyNumberFormat="1" applyFont="1" applyFill="1" applyBorder="1" applyAlignment="1">
      <alignment horizontal="center" vertical="center"/>
    </xf>
  </cellXfs>
  <cellStyles count="4">
    <cellStyle name="Ctx_Hyperlink" xfId="1" xr:uid="{D0D4E669-E4BE-4435-A648-84F1AD279272}"/>
    <cellStyle name="Moeda" xfId="3" builtinId="4"/>
    <cellStyle name="Normal" xfId="0" builtinId="0"/>
    <cellStyle name="Normal 4" xfId="2" xr:uid="{82F1CC7A-F2DA-4DFD-B45B-9DB5573EC31F}"/>
  </cellStyles>
  <dxfs count="20"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[$-409]d\-mmm\-yy;@"/>
    </dxf>
    <dxf>
      <font>
        <i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left" textRotation="0" indent="0" justifyLastLine="0" shrinkToFit="0" readingOrder="0"/>
      <protection hidden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textRotation="0" indent="0" justifyLastLine="0" shrinkToFit="0" readingOrder="0"/>
      <protection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protection locked="0" hidden="0"/>
    </dxf>
    <dxf>
      <numFmt numFmtId="167" formatCode="_-&quot;R$&quot;\ * #,##0_-;\-&quot;R$&quot;\ * #,##0_-;_-&quot;R$&quot;\ * &quot;-&quot;??_-;_-@_-"/>
    </dxf>
    <dxf>
      <numFmt numFmtId="167" formatCode="_-&quot;R$&quot;\ * #,##0_-;\-&quot;R$&quot;\ * #,##0_-;_-&quot;R$&quot;\ * &quot;-&quot;??_-;_-@_-"/>
    </dxf>
    <dxf>
      <numFmt numFmtId="13" formatCode="0%"/>
    </dxf>
  </dxfs>
  <tableStyles count="0" defaultTableStyle="TableStyleMedium9" defaultPivotStyle="PivotStyleLight16"/>
  <colors>
    <mruColors>
      <color rgb="FFD3E2F1"/>
      <color rgb="FFE8F0F8"/>
      <color rgb="FFF0F5FA"/>
      <color rgb="FF4F81BD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9.xml"/><Relationship Id="rId10" Type="http://schemas.microsoft.com/office/2007/relationships/slicerCache" Target="slicerCaches/slicerCache4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microsoft.com/office/2011/relationships/chartColorStyle" Target="colors10.xml"/><Relationship Id="rId1" Type="http://schemas.microsoft.com/office/2011/relationships/chartStyle" Target="style10.xml"/><Relationship Id="rId6" Type="http://schemas.openxmlformats.org/officeDocument/2006/relationships/image" Target="../media/image19.png"/><Relationship Id="rId11" Type="http://schemas.openxmlformats.org/officeDocument/2006/relationships/image" Target="../media/image24.png"/><Relationship Id="rId5" Type="http://schemas.openxmlformats.org/officeDocument/2006/relationships/image" Target="../media/image18.png"/><Relationship Id="rId10" Type="http://schemas.openxmlformats.org/officeDocument/2006/relationships/image" Target="../media/image23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de Apoio'!$I$15</c:f>
              <c:strCache>
                <c:ptCount val="1"/>
                <c:pt idx="0">
                  <c:v>Cabeça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Apoio'!$I$9</c:f>
              <c:strCache>
                <c:ptCount val="1"/>
                <c:pt idx="0">
                  <c:v>Pernas</c:v>
                </c:pt>
              </c:strCache>
            </c:strRef>
          </c:cat>
          <c:val>
            <c:numRef>
              <c:f>'Tabelas de Apoio'!$J$15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F-4969-A453-CAFA1FFA7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462544"/>
        <c:axId val="531460576"/>
      </c:barChart>
      <c:catAx>
        <c:axId val="53146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1460576"/>
        <c:crosses val="autoZero"/>
        <c:auto val="1"/>
        <c:lblAlgn val="ctr"/>
        <c:lblOffset val="100"/>
        <c:noMultiLvlLbl val="0"/>
      </c:catAx>
      <c:valAx>
        <c:axId val="5314605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146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115297743865161E-2"/>
          <c:y val="4.291515555476709E-2"/>
          <c:w val="0.89776940451226972"/>
          <c:h val="0.88198332222439046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Apoio'!$I$9</c:f>
              <c:strCache>
                <c:ptCount val="1"/>
                <c:pt idx="0">
                  <c:v>Pernas</c:v>
                </c:pt>
              </c:strCache>
            </c:strRef>
          </c:cat>
          <c:val>
            <c:numRef>
              <c:f>'Tabelas de Apoio'!$J$9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EB-4F04-BBCA-068BA50A0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16840"/>
        <c:axId val="521413560"/>
      </c:barChart>
      <c:catAx>
        <c:axId val="521416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1413560"/>
        <c:crosses val="autoZero"/>
        <c:auto val="1"/>
        <c:lblAlgn val="ctr"/>
        <c:lblOffset val="100"/>
        <c:noMultiLvlLbl val="0"/>
      </c:catAx>
      <c:valAx>
        <c:axId val="5214135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1416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03066227157854E-2"/>
          <c:y val="0.26039429182906731"/>
          <c:w val="0.87147771191687728"/>
          <c:h val="0.62447472017621286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Apoio'!$I$11</c:f>
              <c:strCache>
                <c:ptCount val="1"/>
                <c:pt idx="0">
                  <c:v>Pés</c:v>
                </c:pt>
              </c:strCache>
            </c:strRef>
          </c:cat>
          <c:val>
            <c:numRef>
              <c:f>'Tabelas de Apoio'!$J$11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C-4B08-A63F-4135F7BEA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180568"/>
        <c:axId val="448190080"/>
      </c:barChart>
      <c:catAx>
        <c:axId val="448180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48190080"/>
        <c:crosses val="autoZero"/>
        <c:auto val="1"/>
        <c:lblAlgn val="ctr"/>
        <c:lblOffset val="100"/>
        <c:noMultiLvlLbl val="0"/>
      </c:catAx>
      <c:valAx>
        <c:axId val="448190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81805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419248728461354E-2"/>
          <c:y val="7.3161241195906113E-2"/>
          <c:w val="0.87147765279738498"/>
          <c:h val="0.85367751760818777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Apoio'!$I$12</c:f>
              <c:strCache>
                <c:ptCount val="1"/>
                <c:pt idx="0">
                  <c:v>Braços</c:v>
                </c:pt>
              </c:strCache>
            </c:strRef>
          </c:cat>
          <c:val>
            <c:numRef>
              <c:f>'Tabelas de Apoio'!$J$12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7-40FE-804A-79D769CC9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6139232"/>
        <c:axId val="646140216"/>
      </c:barChart>
      <c:catAx>
        <c:axId val="646139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6140216"/>
        <c:crosses val="autoZero"/>
        <c:auto val="1"/>
        <c:lblAlgn val="ctr"/>
        <c:lblOffset val="100"/>
        <c:noMultiLvlLbl val="0"/>
      </c:catAx>
      <c:valAx>
        <c:axId val="646140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61392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79745406015817E-2"/>
          <c:y val="7.3161146638796914E-2"/>
          <c:w val="0.85061739041166207"/>
          <c:h val="0.85367751760818777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Apoio'!$I$12</c:f>
              <c:strCache>
                <c:ptCount val="1"/>
                <c:pt idx="0">
                  <c:v>Braços</c:v>
                </c:pt>
              </c:strCache>
            </c:strRef>
          </c:cat>
          <c:val>
            <c:numRef>
              <c:f>'Tabelas de Apoio'!$J$12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45-4FD1-BDF9-D51782FD3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6139232"/>
        <c:axId val="646140216"/>
      </c:barChart>
      <c:catAx>
        <c:axId val="646139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6140216"/>
        <c:crosses val="autoZero"/>
        <c:auto val="1"/>
        <c:lblAlgn val="ctr"/>
        <c:lblOffset val="100"/>
        <c:noMultiLvlLbl val="0"/>
      </c:catAx>
      <c:valAx>
        <c:axId val="646140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61392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Apoio'!$I$16</c:f>
              <c:strCache>
                <c:ptCount val="1"/>
                <c:pt idx="0">
                  <c:v>Tronco</c:v>
                </c:pt>
              </c:strCache>
            </c:strRef>
          </c:cat>
          <c:val>
            <c:numRef>
              <c:f>'Tabelas de Apoio'!$J$16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7-419D-8C49-4D01F0426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852904"/>
        <c:axId val="683851920"/>
      </c:barChart>
      <c:catAx>
        <c:axId val="683852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83851920"/>
        <c:crosses val="autoZero"/>
        <c:auto val="1"/>
        <c:lblAlgn val="ctr"/>
        <c:lblOffset val="100"/>
        <c:noMultiLvlLbl val="0"/>
      </c:catAx>
      <c:valAx>
        <c:axId val="68385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838529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[Segurança do Trabalho.xlsm]Tabelas de Análise!tabd_dep_incidente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  <a:latin typeface="Arial Black" panose="020B0A04020102020204" pitchFamily="34" charset="0"/>
              </a:rPr>
              <a:t>NÚMERO</a:t>
            </a:r>
            <a:r>
              <a:rPr lang="en-US" b="1" baseline="0">
                <a:solidFill>
                  <a:srgbClr val="002060"/>
                </a:solidFill>
                <a:latin typeface="Arial Black" panose="020B0A04020102020204" pitchFamily="34" charset="0"/>
              </a:rPr>
              <a:t> DE INCIDENTES</a:t>
            </a:r>
            <a:endParaRPr lang="en-US" b="1">
              <a:solidFill>
                <a:srgbClr val="002060"/>
              </a:solidFill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2.6864940545136166E-2"/>
          <c:y val="1.9126283711180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20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de Análise'!$E$3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59-4581-BC64-871C118BCD9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59-4581-BC64-871C118BCD9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59-4581-BC64-871C118BCD9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3259-4581-BC64-871C118BCD9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259-4581-BC64-871C118BCD9C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3259-4581-BC64-871C118BCD9C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259-4581-BC64-871C118BCD9C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3259-4581-BC64-871C118BCD9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259-4581-BC64-871C118BCD9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3259-4581-BC64-871C118BCD9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259-4581-BC64-871C118BCD9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3259-4581-BC64-871C118BCD9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259-4581-BC64-871C118BCD9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3259-4581-BC64-871C118BCD9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3259-4581-BC64-871C118BCD9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3259-4581-BC64-871C118BCD9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3259-4581-BC64-871C118BCD9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3259-4581-BC64-871C118BCD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'Tabelas de Análise'!$D$4:$D$40</c:f>
              <c:multiLvlStrCache>
                <c:ptCount val="27"/>
                <c:lvl>
                  <c:pt idx="0">
                    <c:v>Vespertino</c:v>
                  </c:pt>
                  <c:pt idx="1">
                    <c:v>Tarde</c:v>
                  </c:pt>
                  <c:pt idx="2">
                    <c:v>Noturno</c:v>
                  </c:pt>
                  <c:pt idx="3">
                    <c:v>Vespertino</c:v>
                  </c:pt>
                  <c:pt idx="4">
                    <c:v>Tarde</c:v>
                  </c:pt>
                  <c:pt idx="5">
                    <c:v>Noturno</c:v>
                  </c:pt>
                  <c:pt idx="6">
                    <c:v>Vespertino</c:v>
                  </c:pt>
                  <c:pt idx="7">
                    <c:v>Tarde</c:v>
                  </c:pt>
                  <c:pt idx="8">
                    <c:v>Noturno</c:v>
                  </c:pt>
                  <c:pt idx="9">
                    <c:v>Vespertino</c:v>
                  </c:pt>
                  <c:pt idx="10">
                    <c:v>Tarde</c:v>
                  </c:pt>
                  <c:pt idx="11">
                    <c:v>Noturno</c:v>
                  </c:pt>
                  <c:pt idx="12">
                    <c:v>Vespertino</c:v>
                  </c:pt>
                  <c:pt idx="13">
                    <c:v>Tarde</c:v>
                  </c:pt>
                  <c:pt idx="14">
                    <c:v>Noturno</c:v>
                  </c:pt>
                  <c:pt idx="15">
                    <c:v>Vespertino</c:v>
                  </c:pt>
                  <c:pt idx="16">
                    <c:v>Tarde</c:v>
                  </c:pt>
                  <c:pt idx="17">
                    <c:v>Noturno</c:v>
                  </c:pt>
                  <c:pt idx="18">
                    <c:v>Vespertino</c:v>
                  </c:pt>
                  <c:pt idx="19">
                    <c:v>Tarde</c:v>
                  </c:pt>
                  <c:pt idx="20">
                    <c:v>Noturno</c:v>
                  </c:pt>
                  <c:pt idx="21">
                    <c:v>Vespertino</c:v>
                  </c:pt>
                  <c:pt idx="22">
                    <c:v>Tarde</c:v>
                  </c:pt>
                  <c:pt idx="23">
                    <c:v>Noturno</c:v>
                  </c:pt>
                  <c:pt idx="24">
                    <c:v>Vespertino</c:v>
                  </c:pt>
                  <c:pt idx="25">
                    <c:v>Tarde</c:v>
                  </c:pt>
                  <c:pt idx="26">
                    <c:v>Noturno</c:v>
                  </c:pt>
                </c:lvl>
                <c:lvl>
                  <c:pt idx="0">
                    <c:v>Administration</c:v>
                  </c:pt>
                  <c:pt idx="3">
                    <c:v>Fabrication</c:v>
                  </c:pt>
                  <c:pt idx="6">
                    <c:v>Finishing</c:v>
                  </c:pt>
                  <c:pt idx="9">
                    <c:v>Maintenance</c:v>
                  </c:pt>
                  <c:pt idx="12">
                    <c:v>Melting</c:v>
                  </c:pt>
                  <c:pt idx="15">
                    <c:v>Painting</c:v>
                  </c:pt>
                  <c:pt idx="18">
                    <c:v>Purchasing</c:v>
                  </c:pt>
                  <c:pt idx="21">
                    <c:v>Security</c:v>
                  </c:pt>
                  <c:pt idx="24">
                    <c:v>Shipping</c:v>
                  </c:pt>
                </c:lvl>
              </c:multiLvlStrCache>
            </c:multiLvlStrRef>
          </c:cat>
          <c:val>
            <c:numRef>
              <c:f>'Tabelas de Análise'!$E$4:$E$40</c:f>
              <c:numCache>
                <c:formatCode>General</c:formatCode>
                <c:ptCount val="27"/>
                <c:pt idx="0">
                  <c:v>23</c:v>
                </c:pt>
                <c:pt idx="1">
                  <c:v>16</c:v>
                </c:pt>
                <c:pt idx="2">
                  <c:v>24</c:v>
                </c:pt>
                <c:pt idx="3">
                  <c:v>16</c:v>
                </c:pt>
                <c:pt idx="4">
                  <c:v>13</c:v>
                </c:pt>
                <c:pt idx="5">
                  <c:v>21</c:v>
                </c:pt>
                <c:pt idx="6">
                  <c:v>14</c:v>
                </c:pt>
                <c:pt idx="7">
                  <c:v>21</c:v>
                </c:pt>
                <c:pt idx="8">
                  <c:v>21</c:v>
                </c:pt>
                <c:pt idx="9">
                  <c:v>23</c:v>
                </c:pt>
                <c:pt idx="10">
                  <c:v>20</c:v>
                </c:pt>
                <c:pt idx="11">
                  <c:v>19</c:v>
                </c:pt>
                <c:pt idx="12">
                  <c:v>16</c:v>
                </c:pt>
                <c:pt idx="13">
                  <c:v>22</c:v>
                </c:pt>
                <c:pt idx="14">
                  <c:v>17</c:v>
                </c:pt>
                <c:pt idx="15">
                  <c:v>22</c:v>
                </c:pt>
                <c:pt idx="16">
                  <c:v>22</c:v>
                </c:pt>
                <c:pt idx="17">
                  <c:v>16</c:v>
                </c:pt>
                <c:pt idx="18">
                  <c:v>16</c:v>
                </c:pt>
                <c:pt idx="19">
                  <c:v>13</c:v>
                </c:pt>
                <c:pt idx="20">
                  <c:v>14</c:v>
                </c:pt>
                <c:pt idx="21">
                  <c:v>24</c:v>
                </c:pt>
                <c:pt idx="22">
                  <c:v>14</c:v>
                </c:pt>
                <c:pt idx="23">
                  <c:v>19</c:v>
                </c:pt>
                <c:pt idx="24">
                  <c:v>25</c:v>
                </c:pt>
                <c:pt idx="25">
                  <c:v>18</c:v>
                </c:pt>
                <c:pt idx="26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E-4F46-908E-3BEA2D292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overlap val="-70"/>
        <c:axId val="600686176"/>
        <c:axId val="600685848"/>
      </c:barChart>
      <c:catAx>
        <c:axId val="60068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685848"/>
        <c:crosses val="autoZero"/>
        <c:auto val="1"/>
        <c:lblAlgn val="ctr"/>
        <c:lblOffset val="400"/>
        <c:tickMarkSkip val="1"/>
        <c:noMultiLvlLbl val="0"/>
      </c:catAx>
      <c:valAx>
        <c:axId val="6006858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06861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2F1"/>
    </a:solidFill>
    <a:ln w="9525" cap="flat" cmpd="sng" algn="ctr">
      <a:solidFill>
        <a:schemeClr val="accent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[Segurança do Trabalho.xlsm]Tabelas de Análise!tabd_gasto_mês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50" normalizeH="0" baseline="0">
                <a:solidFill>
                  <a:srgbClr val="002060"/>
                </a:solidFill>
                <a:latin typeface="Arial Black" panose="020B0A04020102020204" pitchFamily="34" charset="0"/>
                <a:ea typeface="+mj-ea"/>
                <a:cs typeface="+mj-cs"/>
              </a:defRPr>
            </a:pPr>
            <a:r>
              <a:rPr lang="pt-BR" sz="1200" b="1">
                <a:solidFill>
                  <a:srgbClr val="002060"/>
                </a:solidFill>
                <a:latin typeface="Arial Black" panose="020B0A04020102020204" pitchFamily="34" charset="0"/>
              </a:rPr>
              <a:t>CUSTO MENSAL</a:t>
            </a:r>
          </a:p>
        </c:rich>
      </c:tx>
      <c:layout>
        <c:manualLayout>
          <c:xMode val="edge"/>
          <c:yMode val="edge"/>
          <c:x val="5.7590154171904974E-2"/>
          <c:y val="1.3998250218722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50" normalizeH="0" baseline="0">
              <a:solidFill>
                <a:srgbClr val="002060"/>
              </a:solidFill>
              <a:latin typeface="Arial Black" panose="020B0A04020102020204" pitchFamily="34" charset="0"/>
              <a:ea typeface="+mj-ea"/>
              <a:cs typeface="+mj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8F0F8"/>
          </a:solidFill>
          <a:ln>
            <a:solidFill>
              <a:schemeClr val="accent1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de Análise'!$H$3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8F0F8"/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de Análise'!$G$4:$G$15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'Tabelas de Análise'!$H$4:$H$15</c:f>
              <c:numCache>
                <c:formatCode>_-"R$"\ * #,##0_-;\-"R$"\ * #,##0_-;_-"R$"\ * "-"??_-;_-@_-</c:formatCode>
                <c:ptCount val="12"/>
                <c:pt idx="0">
                  <c:v>63033</c:v>
                </c:pt>
                <c:pt idx="1">
                  <c:v>81133</c:v>
                </c:pt>
                <c:pt idx="2">
                  <c:v>63428</c:v>
                </c:pt>
                <c:pt idx="3">
                  <c:v>84766</c:v>
                </c:pt>
                <c:pt idx="4">
                  <c:v>58728</c:v>
                </c:pt>
                <c:pt idx="5">
                  <c:v>64087</c:v>
                </c:pt>
                <c:pt idx="6">
                  <c:v>69669</c:v>
                </c:pt>
                <c:pt idx="7">
                  <c:v>44947</c:v>
                </c:pt>
                <c:pt idx="8">
                  <c:v>35339</c:v>
                </c:pt>
                <c:pt idx="9">
                  <c:v>45447</c:v>
                </c:pt>
                <c:pt idx="10">
                  <c:v>50504</c:v>
                </c:pt>
                <c:pt idx="11">
                  <c:v>56714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D7-4C16-A982-9E1DE283F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41521792"/>
        <c:axId val="441521464"/>
      </c:barChart>
      <c:catAx>
        <c:axId val="44152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521464"/>
        <c:crosses val="autoZero"/>
        <c:auto val="1"/>
        <c:lblAlgn val="ctr"/>
        <c:lblOffset val="100"/>
        <c:noMultiLvlLbl val="0"/>
      </c:catAx>
      <c:valAx>
        <c:axId val="441521464"/>
        <c:scaling>
          <c:orientation val="minMax"/>
          <c:max val="120000"/>
          <c:min val="0"/>
        </c:scaling>
        <c:delete val="0"/>
        <c:axPos val="l"/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>
            <a:solidFill>
              <a:schemeClr val="accen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52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2F1"/>
    </a:solidFill>
    <a:ln w="6350" cap="flat" cmpd="sng" algn="ctr">
      <a:solidFill>
        <a:srgbClr val="00206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[Segurança do Trabalho.xlsm]Tabelas de Análise!tabd_incidentes_plant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3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4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5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6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7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8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9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0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5531565450870366"/>
          <c:y val="3.6934409142516797E-3"/>
          <c:w val="0.82423435001659273"/>
          <c:h val="0.99319010925605378"/>
        </c:manualLayout>
      </c:layout>
      <c:doughnutChart>
        <c:varyColors val="0"/>
        <c:ser>
          <c:idx val="0"/>
          <c:order val="0"/>
          <c:tx>
            <c:strRef>
              <c:f>'Tabelas de Análise'!$T$3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0F5FA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3A8-40BC-91D5-499572910F14}"/>
              </c:ext>
            </c:extLst>
          </c:dPt>
          <c:dPt>
            <c:idx val="1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3A8-40BC-91D5-499572910F14}"/>
              </c:ext>
            </c:extLst>
          </c:dPt>
          <c:dPt>
            <c:idx val="2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A8-40BC-91D5-499572910F14}"/>
              </c:ext>
            </c:extLst>
          </c:dPt>
          <c:dPt>
            <c:idx val="3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A8-40BC-91D5-499572910F14}"/>
              </c:ext>
            </c:extLst>
          </c:dPt>
          <c:dPt>
            <c:idx val="4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A8-40BC-91D5-499572910F14}"/>
              </c:ext>
            </c:extLst>
          </c:dPt>
          <c:dPt>
            <c:idx val="5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A8-40BC-91D5-499572910F14}"/>
              </c:ext>
            </c:extLst>
          </c:dPt>
          <c:dPt>
            <c:idx val="6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A8-40BC-91D5-499572910F14}"/>
              </c:ext>
            </c:extLst>
          </c:dPt>
          <c:dPt>
            <c:idx val="7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A8-40BC-91D5-499572910F14}"/>
              </c:ext>
            </c:extLst>
          </c:dPt>
          <c:dPt>
            <c:idx val="8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A8-40BC-91D5-499572910F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de Análise'!$S$4:$S$13</c:f>
              <c:strCache>
                <c:ptCount val="9"/>
                <c:pt idx="0">
                  <c:v>Alabama</c:v>
                </c:pt>
                <c:pt idx="1">
                  <c:v>California</c:v>
                </c:pt>
                <c:pt idx="2">
                  <c:v>Florida</c:v>
                </c:pt>
                <c:pt idx="3">
                  <c:v>Georgia</c:v>
                </c:pt>
                <c:pt idx="4">
                  <c:v>Illinois</c:v>
                </c:pt>
                <c:pt idx="5">
                  <c:v>Iowa</c:v>
                </c:pt>
                <c:pt idx="6">
                  <c:v>Montana</c:v>
                </c:pt>
                <c:pt idx="7">
                  <c:v>Ohio</c:v>
                </c:pt>
                <c:pt idx="8">
                  <c:v>Texas</c:v>
                </c:pt>
              </c:strCache>
            </c:strRef>
          </c:cat>
          <c:val>
            <c:numRef>
              <c:f>'Tabelas de Análise'!$T$4:$T$13</c:f>
              <c:numCache>
                <c:formatCode>0%</c:formatCode>
                <c:ptCount val="9"/>
                <c:pt idx="0">
                  <c:v>0.10505836575875487</c:v>
                </c:pt>
                <c:pt idx="1">
                  <c:v>0.10505836575875487</c:v>
                </c:pt>
                <c:pt idx="2">
                  <c:v>0.11478599221789883</c:v>
                </c:pt>
                <c:pt idx="3">
                  <c:v>0.11284046692607004</c:v>
                </c:pt>
                <c:pt idx="4">
                  <c:v>0.11867704280155641</c:v>
                </c:pt>
                <c:pt idx="5">
                  <c:v>0.10116731517509728</c:v>
                </c:pt>
                <c:pt idx="6">
                  <c:v>0.1245136186770428</c:v>
                </c:pt>
                <c:pt idx="7">
                  <c:v>0.10894941634241245</c:v>
                </c:pt>
                <c:pt idx="8">
                  <c:v>0.10894941634241245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3A8-40BC-91D5-49957291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[Segurança do Trabalho.xlsm]Tabelas de Análise!tabd_causa_incidente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  <a:latin typeface="Arial Black" panose="020B0A04020102020204" pitchFamily="34" charset="0"/>
              </a:rPr>
              <a:t>INCIDENTES</a:t>
            </a:r>
            <a:r>
              <a:rPr lang="en-US" b="1" baseline="0">
                <a:solidFill>
                  <a:srgbClr val="002060"/>
                </a:solidFill>
                <a:latin typeface="Arial Black" panose="020B0A04020102020204" pitchFamily="34" charset="0"/>
              </a:rPr>
              <a:t> POR NATUREZA</a:t>
            </a:r>
            <a:endParaRPr lang="en-US" b="1">
              <a:solidFill>
                <a:srgbClr val="002060"/>
              </a:solidFill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2480401846320934"/>
          <c:y val="1.201201579911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</c:pivotFmt>
      <c:pivotFmt>
        <c:idx val="4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</c:pivotFmt>
      <c:pivotFmt>
        <c:idx val="5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</c:pivotFmt>
      <c:pivotFmt>
        <c:idx val="6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noFill/>
          </a:ln>
          <a:effectLst/>
        </c:spPr>
      </c:pivotFmt>
      <c:pivotFmt>
        <c:idx val="7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noFill/>
          </a:ln>
          <a:effectLst/>
        </c:spPr>
      </c:pivotFmt>
      <c:pivotFmt>
        <c:idx val="8"/>
        <c:spPr>
          <a:blipFill>
            <a:blip xmlns:r="http://schemas.openxmlformats.org/officeDocument/2006/relationships" r:embed="rId6"/>
            <a:stretch>
              <a:fillRect/>
            </a:stretch>
          </a:blipFill>
          <a:ln>
            <a:noFill/>
          </a:ln>
          <a:effectLst/>
        </c:spPr>
      </c:pivotFmt>
      <c:pivotFmt>
        <c:idx val="9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10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</c:pivotFmt>
      <c:pivotFmt>
        <c:idx val="11"/>
        <c:spPr>
          <a:blipFill>
            <a:blip xmlns:r="http://schemas.openxmlformats.org/officeDocument/2006/relationships" r:embed="rId8"/>
            <a:stretch>
              <a:fillRect/>
            </a:stretch>
          </a:blipFill>
          <a:ln>
            <a:noFill/>
          </a:ln>
          <a:effectLst/>
        </c:spPr>
      </c:pivotFmt>
      <c:pivotFmt>
        <c:idx val="12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13"/>
        <c:spPr>
          <a:blipFill>
            <a:blip xmlns:r="http://schemas.openxmlformats.org/officeDocument/2006/relationships" r:embed="rId10"/>
            <a:stretch>
              <a:fillRect/>
            </a:stretch>
          </a:blipFill>
          <a:ln>
            <a:noFill/>
          </a:ln>
          <a:effectLst/>
        </c:spPr>
      </c:pivotFmt>
      <c:pivotFmt>
        <c:idx val="14"/>
        <c:spPr>
          <a:blipFill>
            <a:blip xmlns:r="http://schemas.openxmlformats.org/officeDocument/2006/relationships" r:embed="rId11"/>
            <a:stretch>
              <a:fillRect/>
            </a:stretch>
          </a:blip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5.3176449704892249E-2"/>
          <c:y val="0.15628330700335649"/>
          <c:w val="0.93252638247805231"/>
          <c:h val="0.605554721825675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de Análise'!$W$3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1-D9AA-49A5-9D9C-6148F3D87A80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4-D9AA-49A5-9D9C-6148F3D87A80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9-D9AA-49A5-9D9C-6148F3D87A80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5-D9AA-49A5-9D9C-6148F3D87A80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3-D9AA-49A5-9D9C-6148F3D87A80}"/>
              </c:ext>
            </c:extLst>
          </c:dPt>
          <c:dPt>
            <c:idx val="5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7-D9AA-49A5-9D9C-6148F3D87A80}"/>
              </c:ext>
            </c:extLst>
          </c:dPt>
          <c:dPt>
            <c:idx val="6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8-D9AA-49A5-9D9C-6148F3D87A80}"/>
              </c:ext>
            </c:extLst>
          </c:dPt>
          <c:dPt>
            <c:idx val="7"/>
            <c:invertIfNegative val="0"/>
            <c:bubble3D val="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A-D9AA-49A5-9D9C-6148F3D87A80}"/>
              </c:ext>
            </c:extLst>
          </c:dPt>
          <c:dPt>
            <c:idx val="8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6-D9AA-49A5-9D9C-6148F3D87A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de Análise'!$V$4:$V$13</c:f>
              <c:strCache>
                <c:ptCount val="9"/>
                <c:pt idx="0">
                  <c:v>Queimadura</c:v>
                </c:pt>
                <c:pt idx="1">
                  <c:v>Veículo</c:v>
                </c:pt>
                <c:pt idx="2">
                  <c:v>Queda de Objeto</c:v>
                </c:pt>
                <c:pt idx="3">
                  <c:v>Queda</c:v>
                </c:pt>
                <c:pt idx="4">
                  <c:v>Equipamento</c:v>
                </c:pt>
                <c:pt idx="5">
                  <c:v>Escorregamento</c:v>
                </c:pt>
                <c:pt idx="6">
                  <c:v>Corte</c:v>
                </c:pt>
                <c:pt idx="7">
                  <c:v>Esmagamento</c:v>
                </c:pt>
                <c:pt idx="8">
                  <c:v>Peso</c:v>
                </c:pt>
              </c:strCache>
            </c:strRef>
          </c:cat>
          <c:val>
            <c:numRef>
              <c:f>'Tabelas de Análise'!$W$4:$W$13</c:f>
              <c:numCache>
                <c:formatCode>General</c:formatCode>
                <c:ptCount val="9"/>
                <c:pt idx="0">
                  <c:v>65</c:v>
                </c:pt>
                <c:pt idx="1">
                  <c:v>50</c:v>
                </c:pt>
                <c:pt idx="2">
                  <c:v>55</c:v>
                </c:pt>
                <c:pt idx="3">
                  <c:v>63</c:v>
                </c:pt>
                <c:pt idx="4">
                  <c:v>55</c:v>
                </c:pt>
                <c:pt idx="5">
                  <c:v>62</c:v>
                </c:pt>
                <c:pt idx="6">
                  <c:v>58</c:v>
                </c:pt>
                <c:pt idx="7">
                  <c:v>47</c:v>
                </c:pt>
                <c:pt idx="8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AA-49A5-9D9C-6148F3D87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022336"/>
        <c:axId val="441025288"/>
      </c:barChart>
      <c:catAx>
        <c:axId val="44102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025288"/>
        <c:crosses val="autoZero"/>
        <c:auto val="1"/>
        <c:lblAlgn val="ctr"/>
        <c:lblOffset val="100"/>
        <c:noMultiLvlLbl val="0"/>
      </c:catAx>
      <c:valAx>
        <c:axId val="4410252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102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2F1"/>
    </a:solidFill>
    <a:ln w="6350" cap="flat" cmpd="sng" algn="ctr">
      <a:solidFill>
        <a:srgbClr val="00206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534336"/>
        <c:axId val="528535976"/>
      </c:barChart>
      <c:catAx>
        <c:axId val="5285343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8535976"/>
        <c:crosses val="autoZero"/>
        <c:auto val="1"/>
        <c:lblAlgn val="ctr"/>
        <c:lblOffset val="100"/>
        <c:noMultiLvlLbl val="0"/>
      </c:catAx>
      <c:valAx>
        <c:axId val="528535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85343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Apoio'!$I$5</c:f>
              <c:strCache>
                <c:ptCount val="1"/>
                <c:pt idx="0">
                  <c:v>Abdomen</c:v>
                </c:pt>
              </c:strCache>
            </c:strRef>
          </c:cat>
          <c:val>
            <c:numRef>
              <c:f>'Tabelas de Apoio'!$J$5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C-4118-817D-1F3B0D67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535648"/>
        <c:axId val="528534008"/>
      </c:barChart>
      <c:catAx>
        <c:axId val="528535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8534008"/>
        <c:crosses val="autoZero"/>
        <c:auto val="1"/>
        <c:lblAlgn val="ctr"/>
        <c:lblOffset val="100"/>
        <c:noMultiLvlLbl val="0"/>
      </c:catAx>
      <c:valAx>
        <c:axId val="5285340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853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84876239276295"/>
          <c:y val="0.44408243165332595"/>
          <c:w val="0.85506787792710759"/>
          <c:h val="0.53546370498453766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Apoio'!$I$10</c:f>
              <c:strCache>
                <c:ptCount val="1"/>
                <c:pt idx="0">
                  <c:v>Pescoço</c:v>
                </c:pt>
              </c:strCache>
            </c:strRef>
          </c:cat>
          <c:val>
            <c:numRef>
              <c:f>'Tabelas de Apoio'!$J$10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BF-4347-B422-7420E1C5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460576"/>
        <c:axId val="531465168"/>
      </c:barChart>
      <c:catAx>
        <c:axId val="5314605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1465168"/>
        <c:crosses val="autoZero"/>
        <c:auto val="1"/>
        <c:lblAlgn val="ctr"/>
        <c:lblOffset val="100"/>
        <c:noMultiLvlLbl val="0"/>
      </c:catAx>
      <c:valAx>
        <c:axId val="531465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14605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de Apoio'!$I$15</c:f>
              <c:strCache>
                <c:ptCount val="1"/>
                <c:pt idx="0">
                  <c:v>Cabeça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Apoio'!$I$9</c:f>
              <c:strCache>
                <c:ptCount val="1"/>
                <c:pt idx="0">
                  <c:v>Pernas</c:v>
                </c:pt>
              </c:strCache>
            </c:strRef>
          </c:cat>
          <c:val>
            <c:numRef>
              <c:f>'Tabelas de Apoio'!$J$15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08-4863-8795-CC8077927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462544"/>
        <c:axId val="531460576"/>
      </c:barChart>
      <c:catAx>
        <c:axId val="53146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1460576"/>
        <c:crosses val="autoZero"/>
        <c:auto val="1"/>
        <c:lblAlgn val="ctr"/>
        <c:lblOffset val="100"/>
        <c:noMultiLvlLbl val="0"/>
      </c:catAx>
      <c:valAx>
        <c:axId val="5314605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146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115297743865161E-2"/>
          <c:y val="4.291515555476709E-2"/>
          <c:w val="0.89776940451226972"/>
          <c:h val="0.88198332222439046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Apoio'!$I$9</c:f>
              <c:strCache>
                <c:ptCount val="1"/>
                <c:pt idx="0">
                  <c:v>Pernas</c:v>
                </c:pt>
              </c:strCache>
            </c:strRef>
          </c:cat>
          <c:val>
            <c:numRef>
              <c:f>'Tabelas de Apoio'!$J$9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B-48AC-A520-640548B68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16840"/>
        <c:axId val="521413560"/>
      </c:barChart>
      <c:catAx>
        <c:axId val="521416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1413560"/>
        <c:crosses val="autoZero"/>
        <c:auto val="1"/>
        <c:lblAlgn val="ctr"/>
        <c:lblOffset val="100"/>
        <c:noMultiLvlLbl val="0"/>
      </c:catAx>
      <c:valAx>
        <c:axId val="5214135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1416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03066227157854E-2"/>
          <c:y val="0.26039429182906731"/>
          <c:w val="0.87147771191687728"/>
          <c:h val="0.62447472017621286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Apoio'!$I$11</c:f>
              <c:strCache>
                <c:ptCount val="1"/>
                <c:pt idx="0">
                  <c:v>Pés</c:v>
                </c:pt>
              </c:strCache>
            </c:strRef>
          </c:cat>
          <c:val>
            <c:numRef>
              <c:f>'Tabelas de Apoio'!$J$11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C-4CE6-9D56-ECD987D63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180568"/>
        <c:axId val="448190080"/>
      </c:barChart>
      <c:catAx>
        <c:axId val="448180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48190080"/>
        <c:crosses val="autoZero"/>
        <c:auto val="1"/>
        <c:lblAlgn val="ctr"/>
        <c:lblOffset val="100"/>
        <c:noMultiLvlLbl val="0"/>
      </c:catAx>
      <c:valAx>
        <c:axId val="448190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81805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419248728461354E-2"/>
          <c:y val="7.3161241195906113E-2"/>
          <c:w val="0.87147765279738498"/>
          <c:h val="0.85367751760818777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Apoio'!$I$12</c:f>
              <c:strCache>
                <c:ptCount val="1"/>
                <c:pt idx="0">
                  <c:v>Braços</c:v>
                </c:pt>
              </c:strCache>
            </c:strRef>
          </c:cat>
          <c:val>
            <c:numRef>
              <c:f>'Tabelas de Apoio'!$J$12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E-45B9-8EA4-CF29E9988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6139232"/>
        <c:axId val="646140216"/>
      </c:barChart>
      <c:catAx>
        <c:axId val="646139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6140216"/>
        <c:crosses val="autoZero"/>
        <c:auto val="1"/>
        <c:lblAlgn val="ctr"/>
        <c:lblOffset val="100"/>
        <c:noMultiLvlLbl val="0"/>
      </c:catAx>
      <c:valAx>
        <c:axId val="646140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61392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79745406015817E-2"/>
          <c:y val="7.3161146638796914E-2"/>
          <c:w val="0.85061739041166207"/>
          <c:h val="0.85367751760818777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Apoio'!$I$12</c:f>
              <c:strCache>
                <c:ptCount val="1"/>
                <c:pt idx="0">
                  <c:v>Braços</c:v>
                </c:pt>
              </c:strCache>
            </c:strRef>
          </c:cat>
          <c:val>
            <c:numRef>
              <c:f>'Tabelas de Apoio'!$J$12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DE-4F99-827B-43F17BC71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6139232"/>
        <c:axId val="646140216"/>
      </c:barChart>
      <c:catAx>
        <c:axId val="646139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6140216"/>
        <c:crosses val="autoZero"/>
        <c:auto val="1"/>
        <c:lblAlgn val="ctr"/>
        <c:lblOffset val="100"/>
        <c:noMultiLvlLbl val="0"/>
      </c:catAx>
      <c:valAx>
        <c:axId val="646140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61392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Apoio'!$I$16</c:f>
              <c:strCache>
                <c:ptCount val="1"/>
                <c:pt idx="0">
                  <c:v>Tronco</c:v>
                </c:pt>
              </c:strCache>
            </c:strRef>
          </c:cat>
          <c:val>
            <c:numRef>
              <c:f>'Tabelas de Apoio'!$J$16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E-4133-962E-7BF8D7EF9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852904"/>
        <c:axId val="683851920"/>
      </c:barChart>
      <c:catAx>
        <c:axId val="683852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83851920"/>
        <c:crosses val="autoZero"/>
        <c:auto val="1"/>
        <c:lblAlgn val="ctr"/>
        <c:lblOffset val="100"/>
        <c:noMultiLvlLbl val="0"/>
      </c:catAx>
      <c:valAx>
        <c:axId val="68385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838529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'Tabelas de Apoio'!$I$7</c:f>
              <c:strCache>
                <c:ptCount val="1"/>
                <c:pt idx="0">
                  <c:v>Múltiplos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BF-4556-8447-24DF7D4A574D}"/>
              </c:ext>
            </c:extLst>
          </c:dPt>
          <c:val>
            <c:numRef>
              <c:f>'Tabelas de Apoio'!$J$7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BF-4556-8447-24DF7D4A5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hyperlink" Target="#'Tabelas de An&#225;lise'!A1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12" Type="http://schemas.openxmlformats.org/officeDocument/2006/relationships/hyperlink" Target="#'Base de Dados'!A1"/><Relationship Id="rId2" Type="http://schemas.openxmlformats.org/officeDocument/2006/relationships/hyperlink" Target="http://www.allwhitebackground.com/blue-background-images.html/download/9005" TargetMode="External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hyperlink" Target="#Dashboard!A1"/><Relationship Id="rId5" Type="http://schemas.openxmlformats.org/officeDocument/2006/relationships/chart" Target="../charts/chart1.xml"/><Relationship Id="rId10" Type="http://schemas.openxmlformats.org/officeDocument/2006/relationships/chart" Target="../charts/chart6.xml"/><Relationship Id="rId4" Type="http://schemas.openxmlformats.org/officeDocument/2006/relationships/image" Target="../media/image3.png"/><Relationship Id="rId9" Type="http://schemas.openxmlformats.org/officeDocument/2006/relationships/chart" Target="../charts/chart5.xml"/><Relationship Id="rId14" Type="http://schemas.openxmlformats.org/officeDocument/2006/relationships/hyperlink" Target="#'Tabelas de Apoio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microsoft.com/office/2007/relationships/hdphoto" Target="../media/hdphoto2.wdp"/><Relationship Id="rId18" Type="http://schemas.openxmlformats.org/officeDocument/2006/relationships/image" Target="../media/image25.png"/><Relationship Id="rId26" Type="http://schemas.openxmlformats.org/officeDocument/2006/relationships/chart" Target="../charts/chart14.xml"/><Relationship Id="rId3" Type="http://schemas.openxmlformats.org/officeDocument/2006/relationships/chart" Target="../charts/chart7.xml"/><Relationship Id="rId21" Type="http://schemas.openxmlformats.org/officeDocument/2006/relationships/hyperlink" Target="#&#205;ndice!A1"/><Relationship Id="rId7" Type="http://schemas.openxmlformats.org/officeDocument/2006/relationships/image" Target="../media/image2.png"/><Relationship Id="rId12" Type="http://schemas.openxmlformats.org/officeDocument/2006/relationships/image" Target="../media/image13.png"/><Relationship Id="rId17" Type="http://schemas.openxmlformats.org/officeDocument/2006/relationships/chart" Target="../charts/chart10.xml"/><Relationship Id="rId25" Type="http://schemas.openxmlformats.org/officeDocument/2006/relationships/chart" Target="../charts/chart13.xml"/><Relationship Id="rId2" Type="http://schemas.openxmlformats.org/officeDocument/2006/relationships/hyperlink" Target="http://www.allwhitebackground.com/blue-background-images.html/download/9005" TargetMode="External"/><Relationship Id="rId16" Type="http://schemas.microsoft.com/office/2007/relationships/hdphoto" Target="../media/hdphoto3.wdp"/><Relationship Id="rId20" Type="http://schemas.openxmlformats.org/officeDocument/2006/relationships/image" Target="../media/image27.png"/><Relationship Id="rId29" Type="http://schemas.openxmlformats.org/officeDocument/2006/relationships/chart" Target="../charts/chart17.xml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11" Type="http://schemas.openxmlformats.org/officeDocument/2006/relationships/image" Target="../media/image3.png"/><Relationship Id="rId24" Type="http://schemas.openxmlformats.org/officeDocument/2006/relationships/chart" Target="../charts/chart12.xml"/><Relationship Id="rId32" Type="http://schemas.openxmlformats.org/officeDocument/2006/relationships/chart" Target="../charts/chart20.xml"/><Relationship Id="rId5" Type="http://schemas.openxmlformats.org/officeDocument/2006/relationships/chart" Target="../charts/chart9.xml"/><Relationship Id="rId15" Type="http://schemas.openxmlformats.org/officeDocument/2006/relationships/image" Target="../media/image15.png"/><Relationship Id="rId23" Type="http://schemas.openxmlformats.org/officeDocument/2006/relationships/chart" Target="../charts/chart11.xml"/><Relationship Id="rId28" Type="http://schemas.openxmlformats.org/officeDocument/2006/relationships/chart" Target="../charts/chart16.xml"/><Relationship Id="rId10" Type="http://schemas.microsoft.com/office/2007/relationships/hdphoto" Target="../media/hdphoto1.wdp"/><Relationship Id="rId19" Type="http://schemas.openxmlformats.org/officeDocument/2006/relationships/image" Target="../media/image26.png"/><Relationship Id="rId31" Type="http://schemas.openxmlformats.org/officeDocument/2006/relationships/chart" Target="../charts/chart19.xml"/><Relationship Id="rId4" Type="http://schemas.openxmlformats.org/officeDocument/2006/relationships/chart" Target="../charts/chart8.xml"/><Relationship Id="rId9" Type="http://schemas.openxmlformats.org/officeDocument/2006/relationships/image" Target="../media/image12.png"/><Relationship Id="rId14" Type="http://schemas.openxmlformats.org/officeDocument/2006/relationships/image" Target="../media/image14.png"/><Relationship Id="rId22" Type="http://schemas.openxmlformats.org/officeDocument/2006/relationships/image" Target="../media/image28.png"/><Relationship Id="rId27" Type="http://schemas.openxmlformats.org/officeDocument/2006/relationships/chart" Target="../charts/chart15.xml"/><Relationship Id="rId30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205;ndic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205;ndic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205;ndic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33</xdr:col>
      <xdr:colOff>19050</xdr:colOff>
      <xdr:row>62</xdr:row>
      <xdr:rowOff>76200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B056508-BC9C-4154-A8AD-962342AB0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9525"/>
          <a:ext cx="20216132" cy="11877675"/>
        </a:xfrm>
        <a:prstGeom prst="rect">
          <a:avLst/>
        </a:prstGeom>
      </xdr:spPr>
    </xdr:pic>
    <xdr:clientData/>
  </xdr:twoCellAnchor>
  <xdr:twoCellAnchor>
    <xdr:from>
      <xdr:col>14</xdr:col>
      <xdr:colOff>255852</xdr:colOff>
      <xdr:row>0</xdr:row>
      <xdr:rowOff>95250</xdr:rowOff>
    </xdr:from>
    <xdr:to>
      <xdr:col>29</xdr:col>
      <xdr:colOff>95933</xdr:colOff>
      <xdr:row>36</xdr:row>
      <xdr:rowOff>76199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AB046832-F3D5-4C44-90EE-A0C32D1D0106}"/>
            </a:ext>
          </a:extLst>
        </xdr:cNvPr>
        <xdr:cNvSpPr/>
      </xdr:nvSpPr>
      <xdr:spPr>
        <a:xfrm>
          <a:off x="8780727" y="95250"/>
          <a:ext cx="8984081" cy="6838949"/>
        </a:xfrm>
        <a:prstGeom prst="rect">
          <a:avLst/>
        </a:prstGeom>
        <a:solidFill>
          <a:srgbClr val="F0F5FA">
            <a:alpha val="52157"/>
          </a:srgbClr>
        </a:solidFill>
        <a:ln w="63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180975</xdr:colOff>
      <xdr:row>0</xdr:row>
      <xdr:rowOff>95580</xdr:rowOff>
    </xdr:from>
    <xdr:to>
      <xdr:col>14</xdr:col>
      <xdr:colOff>152401</xdr:colOff>
      <xdr:row>36</xdr:row>
      <xdr:rowOff>78308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9C0B4713-30B7-4621-9033-E82FEF8121DC}"/>
            </a:ext>
          </a:extLst>
        </xdr:cNvPr>
        <xdr:cNvSpPr/>
      </xdr:nvSpPr>
      <xdr:spPr>
        <a:xfrm>
          <a:off x="180975" y="95580"/>
          <a:ext cx="8496301" cy="6840728"/>
        </a:xfrm>
        <a:prstGeom prst="rect">
          <a:avLst/>
        </a:prstGeom>
        <a:solidFill>
          <a:srgbClr val="F0F5FA">
            <a:alpha val="52157"/>
          </a:srgbClr>
        </a:solidFill>
        <a:ln w="63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561973</xdr:colOff>
      <xdr:row>3</xdr:row>
      <xdr:rowOff>395</xdr:rowOff>
    </xdr:from>
    <xdr:to>
      <xdr:col>14</xdr:col>
      <xdr:colOff>457198</xdr:colOff>
      <xdr:row>13</xdr:row>
      <xdr:rowOff>143270</xdr:rowOff>
    </xdr:to>
    <xdr:sp macro="" textlink="">
      <xdr:nvSpPr>
        <xdr:cNvPr id="19" name="Sinal de Subtração 18">
          <a:extLst>
            <a:ext uri="{FF2B5EF4-FFF2-40B4-BE49-F238E27FC236}">
              <a16:creationId xmlns:a16="http://schemas.microsoft.com/office/drawing/2014/main" id="{D1E010B9-ADCE-45AA-8559-5D4C6D1DE24D}"/>
            </a:ext>
          </a:extLst>
        </xdr:cNvPr>
        <xdr:cNvSpPr/>
      </xdr:nvSpPr>
      <xdr:spPr>
        <a:xfrm rot="5400000">
          <a:off x="7715248" y="1343420"/>
          <a:ext cx="2047875" cy="504825"/>
        </a:xfrm>
        <a:prstGeom prst="mathMinus">
          <a:avLst/>
        </a:prstGeom>
        <a:pattFill prst="dkDnDiag">
          <a:fgClr>
            <a:schemeClr val="accent1">
              <a:lumMod val="60000"/>
              <a:lumOff val="40000"/>
            </a:schemeClr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561975</xdr:colOff>
      <xdr:row>13</xdr:row>
      <xdr:rowOff>114300</xdr:rowOff>
    </xdr:from>
    <xdr:to>
      <xdr:col>10</xdr:col>
      <xdr:colOff>304799</xdr:colOff>
      <xdr:row>31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7C18C5-C4A6-4C90-AB1E-7CE35785A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0375" y="2590800"/>
          <a:ext cx="3390899" cy="3390900"/>
        </a:xfrm>
        <a:prstGeom prst="rect">
          <a:avLst/>
        </a:prstGeom>
      </xdr:spPr>
    </xdr:pic>
    <xdr:clientData/>
  </xdr:twoCellAnchor>
  <xdr:twoCellAnchor editAs="oneCell">
    <xdr:from>
      <xdr:col>5</xdr:col>
      <xdr:colOff>588207</xdr:colOff>
      <xdr:row>19</xdr:row>
      <xdr:rowOff>21505</xdr:rowOff>
    </xdr:from>
    <xdr:to>
      <xdr:col>8</xdr:col>
      <xdr:colOff>313710</xdr:colOff>
      <xdr:row>25</xdr:row>
      <xdr:rowOff>93335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45A0F4D-FB99-4375-8392-CDCFBC56C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6207" y="3641005"/>
          <a:ext cx="1554303" cy="121483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47626</xdr:rowOff>
    </xdr:from>
    <xdr:to>
      <xdr:col>13</xdr:col>
      <xdr:colOff>180975</xdr:colOff>
      <xdr:row>32</xdr:row>
      <xdr:rowOff>85725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68776B07-2C9C-4723-9643-2E84576FBED0}"/>
            </a:ext>
          </a:extLst>
        </xdr:cNvPr>
        <xdr:cNvSpPr txBox="1"/>
      </xdr:nvSpPr>
      <xdr:spPr>
        <a:xfrm>
          <a:off x="800100" y="5572126"/>
          <a:ext cx="7296150" cy="60959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  <a:scene3d>
          <a:camera prst="perspectiveRelaxedModerately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600">
              <a:latin typeface="Arial Black" panose="020B0A04020102020204" pitchFamily="34" charset="0"/>
            </a:rPr>
            <a:t>SEGURANÇA</a:t>
          </a:r>
          <a:r>
            <a:rPr lang="pt-BR" sz="3600" baseline="0">
              <a:latin typeface="Arial Black" panose="020B0A04020102020204" pitchFamily="34" charset="0"/>
            </a:rPr>
            <a:t> DO TRABALHO</a:t>
          </a:r>
          <a:endParaRPr lang="pt-BR" sz="36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13</xdr:col>
      <xdr:colOff>454672</xdr:colOff>
      <xdr:row>23</xdr:row>
      <xdr:rowOff>130245</xdr:rowOff>
    </xdr:from>
    <xdr:to>
      <xdr:col>18</xdr:col>
      <xdr:colOff>22160</xdr:colOff>
      <xdr:row>47</xdr:row>
      <xdr:rowOff>22166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F72C97F-0041-4C5E-BCD9-367670F93217}"/>
            </a:ext>
          </a:extLst>
        </xdr:cNvPr>
        <xdr:cNvGrpSpPr/>
      </xdr:nvGrpSpPr>
      <xdr:grpSpPr>
        <a:xfrm>
          <a:off x="8389177" y="4470410"/>
          <a:ext cx="2622676" cy="4420789"/>
          <a:chOff x="8512822" y="2330126"/>
          <a:chExt cx="2615488" cy="4463921"/>
        </a:xfrm>
      </xdr:grpSpPr>
      <xdr:graphicFrame macro="">
        <xdr:nvGraphicFramePr>
          <xdr:cNvPr id="11" name="graf_Cabeça">
            <a:extLst>
              <a:ext uri="{FF2B5EF4-FFF2-40B4-BE49-F238E27FC236}">
                <a16:creationId xmlns:a16="http://schemas.microsoft.com/office/drawing/2014/main" id="{7F4CD4B1-109C-4E07-98F1-F83BA6B08257}"/>
              </a:ext>
            </a:extLst>
          </xdr:cNvPr>
          <xdr:cNvGraphicFramePr>
            <a:graphicFrameLocks/>
          </xdr:cNvGraphicFramePr>
        </xdr:nvGraphicFramePr>
        <xdr:xfrm>
          <a:off x="8738508" y="2330126"/>
          <a:ext cx="2029291" cy="12751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2" name="graf_Pernas">
            <a:extLst>
              <a:ext uri="{FF2B5EF4-FFF2-40B4-BE49-F238E27FC236}">
                <a16:creationId xmlns:a16="http://schemas.microsoft.com/office/drawing/2014/main" id="{100D8B95-109C-4C57-8CC8-6B6855101769}"/>
              </a:ext>
            </a:extLst>
          </xdr:cNvPr>
          <xdr:cNvGraphicFramePr>
            <a:graphicFrameLocks/>
          </xdr:cNvGraphicFramePr>
        </xdr:nvGraphicFramePr>
        <xdr:xfrm>
          <a:off x="8512822" y="4478694"/>
          <a:ext cx="2615488" cy="19011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3" name="graf_Pés">
            <a:extLst>
              <a:ext uri="{FF2B5EF4-FFF2-40B4-BE49-F238E27FC236}">
                <a16:creationId xmlns:a16="http://schemas.microsoft.com/office/drawing/2014/main" id="{5BCED826-5679-4A08-AE2F-D55507ED0CBC}"/>
              </a:ext>
            </a:extLst>
          </xdr:cNvPr>
          <xdr:cNvGraphicFramePr>
            <a:graphicFrameLocks/>
          </xdr:cNvGraphicFramePr>
        </xdr:nvGraphicFramePr>
        <xdr:xfrm>
          <a:off x="8723928" y="5710334"/>
          <a:ext cx="2154400" cy="10837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4" name="graf_Braço1">
            <a:extLst>
              <a:ext uri="{FF2B5EF4-FFF2-40B4-BE49-F238E27FC236}">
                <a16:creationId xmlns:a16="http://schemas.microsoft.com/office/drawing/2014/main" id="{8FD6E6AD-A74F-445D-8584-ED8E30CA7EC1}"/>
              </a:ext>
            </a:extLst>
          </xdr:cNvPr>
          <xdr:cNvGraphicFramePr>
            <a:graphicFrameLocks/>
          </xdr:cNvGraphicFramePr>
        </xdr:nvGraphicFramePr>
        <xdr:xfrm>
          <a:off x="8647520" y="3203704"/>
          <a:ext cx="1304076" cy="21366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5" name="graf_Braço1">
            <a:extLst>
              <a:ext uri="{FF2B5EF4-FFF2-40B4-BE49-F238E27FC236}">
                <a16:creationId xmlns:a16="http://schemas.microsoft.com/office/drawing/2014/main" id="{F81F9DE2-9EE8-4E26-9817-655952378E8A}"/>
              </a:ext>
            </a:extLst>
          </xdr:cNvPr>
          <xdr:cNvGraphicFramePr>
            <a:graphicFrameLocks/>
          </xdr:cNvGraphicFramePr>
        </xdr:nvGraphicFramePr>
        <xdr:xfrm>
          <a:off x="9688692" y="3189321"/>
          <a:ext cx="1220266" cy="21615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6" name="Gráfico 15">
            <a:extLst>
              <a:ext uri="{FF2B5EF4-FFF2-40B4-BE49-F238E27FC236}">
                <a16:creationId xmlns:a16="http://schemas.microsoft.com/office/drawing/2014/main" id="{C1D17928-8120-4A5E-B6E1-3A6F6D1D5244}"/>
              </a:ext>
            </a:extLst>
          </xdr:cNvPr>
          <xdr:cNvGraphicFramePr>
            <a:graphicFrameLocks/>
          </xdr:cNvGraphicFramePr>
        </xdr:nvGraphicFramePr>
        <xdr:xfrm>
          <a:off x="8522542" y="3221389"/>
          <a:ext cx="2566891" cy="15160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0</xdr:col>
      <xdr:colOff>342900</xdr:colOff>
      <xdr:row>0</xdr:row>
      <xdr:rowOff>85725</xdr:rowOff>
    </xdr:from>
    <xdr:to>
      <xdr:col>14</xdr:col>
      <xdr:colOff>38101</xdr:colOff>
      <xdr:row>11</xdr:row>
      <xdr:rowOff>19051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BEED6202-6629-41AC-9911-159396D499E1}"/>
            </a:ext>
          </a:extLst>
        </xdr:cNvPr>
        <xdr:cNvSpPr txBox="1"/>
      </xdr:nvSpPr>
      <xdr:spPr>
        <a:xfrm>
          <a:off x="342900" y="85725"/>
          <a:ext cx="8220076" cy="2028826"/>
        </a:xfrm>
        <a:prstGeom prst="rect">
          <a:avLst/>
        </a:prstGeom>
        <a:noFill/>
        <a:ln w="9525" cmpd="sng"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5400">
              <a:ln>
                <a:solidFill>
                  <a:schemeClr val="bg1"/>
                </a:solidFill>
              </a:ln>
              <a:latin typeface="Arial Black" panose="020B0A04020102020204" pitchFamily="34" charset="0"/>
            </a:rPr>
            <a:t>CONTROLE</a:t>
          </a:r>
        </a:p>
        <a:p>
          <a:pPr algn="ctr"/>
          <a:r>
            <a:rPr lang="pt-BR" sz="5400">
              <a:ln>
                <a:solidFill>
                  <a:schemeClr val="bg1"/>
                </a:solidFill>
              </a:ln>
              <a:latin typeface="Arial Black" panose="020B0A04020102020204" pitchFamily="34" charset="0"/>
            </a:rPr>
            <a:t>DE</a:t>
          </a:r>
          <a:r>
            <a:rPr lang="pt-BR" sz="5400" baseline="0">
              <a:ln>
                <a:solidFill>
                  <a:schemeClr val="bg1"/>
                </a:solidFill>
              </a:ln>
              <a:latin typeface="Arial Black" panose="020B0A04020102020204" pitchFamily="34" charset="0"/>
            </a:rPr>
            <a:t> INCIDENTES</a:t>
          </a:r>
          <a:endParaRPr lang="pt-BR" sz="5400">
            <a:ln>
              <a:solidFill>
                <a:schemeClr val="bg1"/>
              </a:solidFill>
            </a:ln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14</xdr:col>
      <xdr:colOff>257175</xdr:colOff>
      <xdr:row>1</xdr:row>
      <xdr:rowOff>123825</xdr:rowOff>
    </xdr:from>
    <xdr:to>
      <xdr:col>30</xdr:col>
      <xdr:colOff>47626</xdr:colOff>
      <xdr:row>12</xdr:row>
      <xdr:rowOff>57151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70BC77E1-E038-4264-9967-B1FC51B632C4}"/>
            </a:ext>
          </a:extLst>
        </xdr:cNvPr>
        <xdr:cNvSpPr txBox="1"/>
      </xdr:nvSpPr>
      <xdr:spPr>
        <a:xfrm>
          <a:off x="8782050" y="314325"/>
          <a:ext cx="9544051" cy="2028826"/>
        </a:xfrm>
        <a:prstGeom prst="rect">
          <a:avLst/>
        </a:prstGeom>
        <a:noFill/>
        <a:ln w="9525" cmpd="sng"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800">
              <a:ln>
                <a:solidFill>
                  <a:schemeClr val="bg1"/>
                </a:solidFill>
              </a:ln>
              <a:latin typeface="Arial Black" panose="020B0A04020102020204" pitchFamily="34" charset="0"/>
            </a:rPr>
            <a:t>ÍNDICE </a:t>
          </a:r>
        </a:p>
        <a:p>
          <a:pPr algn="ctr"/>
          <a:r>
            <a:rPr lang="pt-BR" sz="4800">
              <a:ln>
                <a:solidFill>
                  <a:schemeClr val="bg1"/>
                </a:solidFill>
              </a:ln>
              <a:latin typeface="Arial Black" panose="020B0A04020102020204" pitchFamily="34" charset="0"/>
            </a:rPr>
            <a:t>DE NAVEGAÇÃO</a:t>
          </a:r>
        </a:p>
      </xdr:txBody>
    </xdr:sp>
    <xdr:clientData/>
  </xdr:twoCellAnchor>
  <xdr:twoCellAnchor>
    <xdr:from>
      <xdr:col>13</xdr:col>
      <xdr:colOff>561973</xdr:colOff>
      <xdr:row>23</xdr:row>
      <xdr:rowOff>105170</xdr:rowOff>
    </xdr:from>
    <xdr:to>
      <xdr:col>14</xdr:col>
      <xdr:colOff>457198</xdr:colOff>
      <xdr:row>34</xdr:row>
      <xdr:rowOff>57545</xdr:rowOff>
    </xdr:to>
    <xdr:sp macro="" textlink="">
      <xdr:nvSpPr>
        <xdr:cNvPr id="22" name="Sinal de Subtração 21">
          <a:extLst>
            <a:ext uri="{FF2B5EF4-FFF2-40B4-BE49-F238E27FC236}">
              <a16:creationId xmlns:a16="http://schemas.microsoft.com/office/drawing/2014/main" id="{D6DFC0AC-BA24-4E26-8088-4D5E36A7D2F0}"/>
            </a:ext>
          </a:extLst>
        </xdr:cNvPr>
        <xdr:cNvSpPr/>
      </xdr:nvSpPr>
      <xdr:spPr>
        <a:xfrm rot="5400000">
          <a:off x="7705723" y="5258195"/>
          <a:ext cx="2047875" cy="504825"/>
        </a:xfrm>
        <a:prstGeom prst="mathMinus">
          <a:avLst/>
        </a:prstGeom>
        <a:pattFill prst="dkDnDiag">
          <a:fgClr>
            <a:schemeClr val="accent1">
              <a:lumMod val="60000"/>
              <a:lumOff val="40000"/>
            </a:schemeClr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409576</xdr:colOff>
      <xdr:row>14</xdr:row>
      <xdr:rowOff>171450</xdr:rowOff>
    </xdr:from>
    <xdr:to>
      <xdr:col>21</xdr:col>
      <xdr:colOff>476250</xdr:colOff>
      <xdr:row>21</xdr:row>
      <xdr:rowOff>152400</xdr:rowOff>
    </xdr:to>
    <xdr:sp macro="" textlink="">
      <xdr:nvSpPr>
        <xdr:cNvPr id="23" name="ret_LimparFiltro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52FE1E-9E4B-4B68-8FC8-9A2940D1FBBD}"/>
            </a:ext>
          </a:extLst>
        </xdr:cNvPr>
        <xdr:cNvSpPr/>
      </xdr:nvSpPr>
      <xdr:spPr>
        <a:xfrm>
          <a:off x="9544051" y="2838450"/>
          <a:ext cx="3724274" cy="1314450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i="0" u="none">
              <a:latin typeface="Arial Black" panose="020B0A04020102020204" pitchFamily="34" charset="0"/>
            </a:rPr>
            <a:t>DASHBOARD</a:t>
          </a:r>
          <a:r>
            <a:rPr lang="pt-BR" sz="3600" b="1" i="0" u="none" baseline="0">
              <a:latin typeface="Arial Black" panose="020B0A04020102020204" pitchFamily="34" charset="0"/>
            </a:rPr>
            <a:t> </a:t>
          </a:r>
          <a:endParaRPr lang="pt-BR" sz="4000" b="1" i="0" u="none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15</xdr:col>
      <xdr:colOff>400051</xdr:colOff>
      <xdr:row>25</xdr:row>
      <xdr:rowOff>66675</xdr:rowOff>
    </xdr:from>
    <xdr:to>
      <xdr:col>21</xdr:col>
      <xdr:colOff>466725</xdr:colOff>
      <xdr:row>32</xdr:row>
      <xdr:rowOff>47625</xdr:rowOff>
    </xdr:to>
    <xdr:sp macro="" textlink="">
      <xdr:nvSpPr>
        <xdr:cNvPr id="24" name="ret_LimparFiltros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EA23663-3FBA-4824-BE99-9D255903CAEF}"/>
            </a:ext>
          </a:extLst>
        </xdr:cNvPr>
        <xdr:cNvSpPr/>
      </xdr:nvSpPr>
      <xdr:spPr>
        <a:xfrm>
          <a:off x="9534526" y="4829175"/>
          <a:ext cx="3724274" cy="1314450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0" u="none">
              <a:latin typeface="Arial Black" panose="020B0A04020102020204" pitchFamily="34" charset="0"/>
            </a:rPr>
            <a:t>BASE</a:t>
          </a:r>
          <a:r>
            <a:rPr lang="pt-BR" sz="2400" b="1" i="0" u="none" baseline="0">
              <a:latin typeface="Arial Black" panose="020B0A04020102020204" pitchFamily="34" charset="0"/>
            </a:rPr>
            <a:t> DE DADOS</a:t>
          </a:r>
          <a:endParaRPr lang="pt-BR" sz="2800" b="1" i="0" u="none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22</xdr:col>
      <xdr:colOff>352426</xdr:colOff>
      <xdr:row>14</xdr:row>
      <xdr:rowOff>171450</xdr:rowOff>
    </xdr:from>
    <xdr:to>
      <xdr:col>28</xdr:col>
      <xdr:colOff>419100</xdr:colOff>
      <xdr:row>21</xdr:row>
      <xdr:rowOff>152400</xdr:rowOff>
    </xdr:to>
    <xdr:sp macro="" textlink="">
      <xdr:nvSpPr>
        <xdr:cNvPr id="25" name="ret_LimparFiltros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C353B5A-0318-452F-971C-F72DE5EFA471}"/>
            </a:ext>
          </a:extLst>
        </xdr:cNvPr>
        <xdr:cNvSpPr/>
      </xdr:nvSpPr>
      <xdr:spPr>
        <a:xfrm>
          <a:off x="13754101" y="2838450"/>
          <a:ext cx="3724274" cy="1314450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i="0" u="none" baseline="0">
              <a:latin typeface="Arial Black" panose="020B0A04020102020204" pitchFamily="34" charset="0"/>
            </a:rPr>
            <a:t>TABELAS DE ANÁLISE </a:t>
          </a:r>
          <a:endParaRPr lang="pt-BR" sz="3200" b="1" i="0" u="none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22</xdr:col>
      <xdr:colOff>361951</xdr:colOff>
      <xdr:row>25</xdr:row>
      <xdr:rowOff>47625</xdr:rowOff>
    </xdr:from>
    <xdr:to>
      <xdr:col>28</xdr:col>
      <xdr:colOff>428625</xdr:colOff>
      <xdr:row>32</xdr:row>
      <xdr:rowOff>28575</xdr:rowOff>
    </xdr:to>
    <xdr:sp macro="" textlink="">
      <xdr:nvSpPr>
        <xdr:cNvPr id="26" name="ret_LimparFiltro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F610EB7-198A-4B7B-B779-D4D20273CD1D}"/>
            </a:ext>
          </a:extLst>
        </xdr:cNvPr>
        <xdr:cNvSpPr/>
      </xdr:nvSpPr>
      <xdr:spPr>
        <a:xfrm>
          <a:off x="13763626" y="4810125"/>
          <a:ext cx="3724274" cy="1314450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0" u="none">
              <a:latin typeface="Arial Black" panose="020B0A04020102020204" pitchFamily="34" charset="0"/>
            </a:rPr>
            <a:t>TABELAS</a:t>
          </a:r>
          <a:r>
            <a:rPr lang="pt-BR" sz="2400" b="1" i="0" u="none" baseline="0">
              <a:latin typeface="Arial Black" panose="020B0A04020102020204" pitchFamily="34" charset="0"/>
            </a:rPr>
            <a:t> DE APOIO </a:t>
          </a:r>
          <a:endParaRPr lang="pt-BR" sz="2800" b="1" i="0" u="none"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38</xdr:row>
      <xdr:rowOff>57151</xdr:rowOff>
    </xdr:from>
    <xdr:to>
      <xdr:col>13</xdr:col>
      <xdr:colOff>0</xdr:colOff>
      <xdr:row>43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Gender">
              <a:extLst>
                <a:ext uri="{FF2B5EF4-FFF2-40B4-BE49-F238E27FC236}">
                  <a16:creationId xmlns:a16="http://schemas.microsoft.com/office/drawing/2014/main" id="{B34B4B84-5630-4A16-B009-31FAC35532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6000" y="7296151"/>
              <a:ext cx="1828800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471371</xdr:colOff>
      <xdr:row>38</xdr:row>
      <xdr:rowOff>76200</xdr:rowOff>
    </xdr:from>
    <xdr:to>
      <xdr:col>9</xdr:col>
      <xdr:colOff>471371</xdr:colOff>
      <xdr:row>46</xdr:row>
      <xdr:rowOff>36707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0" name="Report Type 1">
              <a:extLst>
                <a:ext uri="{FF2B5EF4-FFF2-40B4-BE49-F238E27FC236}">
                  <a16:creationId xmlns:a16="http://schemas.microsoft.com/office/drawing/2014/main" id="{303363D4-B8B8-4751-8D48-CFDCA92CF8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 Ty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8971" y="7315200"/>
              <a:ext cx="1828800" cy="14845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33</xdr:col>
      <xdr:colOff>9525</xdr:colOff>
      <xdr:row>62</xdr:row>
      <xdr:rowOff>66675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77CD6722-E7D4-4B6B-9157-E9E1396BF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0"/>
          <a:ext cx="20077967" cy="11877675"/>
        </a:xfrm>
        <a:prstGeom prst="rect">
          <a:avLst/>
        </a:prstGeom>
      </xdr:spPr>
    </xdr:pic>
    <xdr:clientData/>
  </xdr:twoCellAnchor>
  <xdr:twoCellAnchor>
    <xdr:from>
      <xdr:col>14</xdr:col>
      <xdr:colOff>217752</xdr:colOff>
      <xdr:row>0</xdr:row>
      <xdr:rowOff>66280</xdr:rowOff>
    </xdr:from>
    <xdr:to>
      <xdr:col>29</xdr:col>
      <xdr:colOff>57833</xdr:colOff>
      <xdr:row>36</xdr:row>
      <xdr:rowOff>47229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75416657-AD3D-4349-9056-4F38D3BB0EC4}"/>
            </a:ext>
          </a:extLst>
        </xdr:cNvPr>
        <xdr:cNvSpPr/>
      </xdr:nvSpPr>
      <xdr:spPr>
        <a:xfrm>
          <a:off x="8790252" y="66280"/>
          <a:ext cx="9024902" cy="6838949"/>
        </a:xfrm>
        <a:prstGeom prst="rect">
          <a:avLst/>
        </a:prstGeom>
        <a:solidFill>
          <a:srgbClr val="F0F5FA">
            <a:alpha val="52157"/>
          </a:srgbClr>
        </a:solidFill>
        <a:ln w="63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66610</xdr:rowOff>
    </xdr:from>
    <xdr:to>
      <xdr:col>14</xdr:col>
      <xdr:colOff>104776</xdr:colOff>
      <xdr:row>36</xdr:row>
      <xdr:rowOff>49338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E3FF3D0-DB87-4A39-977D-E1581B60F2A4}"/>
            </a:ext>
          </a:extLst>
        </xdr:cNvPr>
        <xdr:cNvSpPr/>
      </xdr:nvSpPr>
      <xdr:spPr>
        <a:xfrm>
          <a:off x="133350" y="66610"/>
          <a:ext cx="8505826" cy="6840728"/>
        </a:xfrm>
        <a:prstGeom prst="rect">
          <a:avLst/>
        </a:prstGeom>
        <a:solidFill>
          <a:srgbClr val="F0F5FA">
            <a:alpha val="52157"/>
          </a:srgbClr>
        </a:solidFill>
        <a:ln w="63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247649</xdr:colOff>
      <xdr:row>0</xdr:row>
      <xdr:rowOff>142875</xdr:rowOff>
    </xdr:from>
    <xdr:to>
      <xdr:col>11</xdr:col>
      <xdr:colOff>9525</xdr:colOff>
      <xdr:row>15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AD759BE-9062-4935-87D5-3BF61D86A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16</xdr:row>
      <xdr:rowOff>66674</xdr:rowOff>
    </xdr:from>
    <xdr:to>
      <xdr:col>8</xdr:col>
      <xdr:colOff>0</xdr:colOff>
      <xdr:row>35</xdr:row>
      <xdr:rowOff>76199</xdr:rowOff>
    </xdr:to>
    <xdr:graphicFrame macro="">
      <xdr:nvGraphicFramePr>
        <xdr:cNvPr id="6" name="graph_GastoMensal">
          <a:extLst>
            <a:ext uri="{FF2B5EF4-FFF2-40B4-BE49-F238E27FC236}">
              <a16:creationId xmlns:a16="http://schemas.microsoft.com/office/drawing/2014/main" id="{271EC3B0-FD28-4373-8159-C90A0926E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123826</xdr:colOff>
      <xdr:row>0</xdr:row>
      <xdr:rowOff>171451</xdr:rowOff>
    </xdr:from>
    <xdr:to>
      <xdr:col>14</xdr:col>
      <xdr:colOff>28576</xdr:colOff>
      <xdr:row>15</xdr:row>
      <xdr:rowOff>76201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2E1422D3-1FDC-460C-A7A0-BC507EABDCF2}"/>
            </a:ext>
          </a:extLst>
        </xdr:cNvPr>
        <xdr:cNvSpPr/>
      </xdr:nvSpPr>
      <xdr:spPr>
        <a:xfrm>
          <a:off x="6829426" y="171451"/>
          <a:ext cx="1733550" cy="2762250"/>
        </a:xfrm>
        <a:prstGeom prst="roundRect">
          <a:avLst/>
        </a:prstGeom>
        <a:solidFill>
          <a:srgbClr val="F0F5FA">
            <a:alpha val="72157"/>
          </a:srgb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254689</xdr:colOff>
      <xdr:row>3</xdr:row>
      <xdr:rowOff>155920</xdr:rowOff>
    </xdr:from>
    <xdr:to>
      <xdr:col>13</xdr:col>
      <xdr:colOff>530914</xdr:colOff>
      <xdr:row>5</xdr:row>
      <xdr:rowOff>89245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81FDBC57-84BE-4267-99B5-841FC35F129C}"/>
            </a:ext>
          </a:extLst>
        </xdr:cNvPr>
        <xdr:cNvSpPr/>
      </xdr:nvSpPr>
      <xdr:spPr>
        <a:xfrm>
          <a:off x="6960289" y="727420"/>
          <a:ext cx="1495425" cy="314325"/>
        </a:xfrm>
        <a:prstGeom prst="roundRect">
          <a:avLst/>
        </a:prstGeom>
        <a:solidFill>
          <a:srgbClr val="F0F5FA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8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224252</xdr:colOff>
      <xdr:row>3</xdr:row>
      <xdr:rowOff>180976</xdr:rowOff>
    </xdr:from>
    <xdr:to>
      <xdr:col>13</xdr:col>
      <xdr:colOff>567152</xdr:colOff>
      <xdr:row>5</xdr:row>
      <xdr:rowOff>104776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8025AB8E-BCC0-46B2-9053-6042396696E6}"/>
            </a:ext>
          </a:extLst>
        </xdr:cNvPr>
        <xdr:cNvSpPr txBox="1"/>
      </xdr:nvSpPr>
      <xdr:spPr>
        <a:xfrm>
          <a:off x="6929852" y="752476"/>
          <a:ext cx="15621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 i="0">
              <a:solidFill>
                <a:schemeClr val="accent1">
                  <a:lumMod val="50000"/>
                </a:schemeClr>
              </a:solidFill>
              <a:latin typeface="+mn-lt"/>
            </a:rPr>
            <a:t>Dias perdidos</a:t>
          </a:r>
        </a:p>
      </xdr:txBody>
    </xdr:sp>
    <xdr:clientData/>
  </xdr:twoCellAnchor>
  <xdr:twoCellAnchor>
    <xdr:from>
      <xdr:col>19</xdr:col>
      <xdr:colOff>421823</xdr:colOff>
      <xdr:row>0</xdr:row>
      <xdr:rowOff>133350</xdr:rowOff>
    </xdr:from>
    <xdr:to>
      <xdr:col>27</xdr:col>
      <xdr:colOff>545647</xdr:colOff>
      <xdr:row>17</xdr:row>
      <xdr:rowOff>171449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2F6CA2DE-A41F-4009-88BD-1F70F31EFE6A}"/>
            </a:ext>
          </a:extLst>
        </xdr:cNvPr>
        <xdr:cNvSpPr/>
      </xdr:nvSpPr>
      <xdr:spPr>
        <a:xfrm>
          <a:off x="12055930" y="133350"/>
          <a:ext cx="5022396" cy="3276599"/>
        </a:xfrm>
        <a:prstGeom prst="roundRect">
          <a:avLst/>
        </a:prstGeom>
        <a:solidFill>
          <a:srgbClr val="F0F5FA">
            <a:alpha val="72157"/>
          </a:srgb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176559</xdr:colOff>
      <xdr:row>0</xdr:row>
      <xdr:rowOff>76200</xdr:rowOff>
    </xdr:from>
    <xdr:to>
      <xdr:col>25</xdr:col>
      <xdr:colOff>338950</xdr:colOff>
      <xdr:row>3</xdr:row>
      <xdr:rowOff>170056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EBE47184-800C-45DA-A239-7FEC931339C1}"/>
            </a:ext>
          </a:extLst>
        </xdr:cNvPr>
        <xdr:cNvSpPr txBox="1"/>
      </xdr:nvSpPr>
      <xdr:spPr>
        <a:xfrm>
          <a:off x="13587759" y="76200"/>
          <a:ext cx="1991191" cy="66535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>
              <a:solidFill>
                <a:srgbClr val="002060"/>
              </a:solidFill>
              <a:latin typeface="Arial Black" panose="020B0A04020102020204" pitchFamily="34" charset="0"/>
            </a:rPr>
            <a:t>FILTROS</a:t>
          </a:r>
        </a:p>
      </xdr:txBody>
    </xdr:sp>
    <xdr:clientData/>
  </xdr:twoCellAnchor>
  <xdr:twoCellAnchor>
    <xdr:from>
      <xdr:col>11</xdr:col>
      <xdr:colOff>398187</xdr:colOff>
      <xdr:row>1</xdr:row>
      <xdr:rowOff>88417</xdr:rowOff>
    </xdr:from>
    <xdr:to>
      <xdr:col>13</xdr:col>
      <xdr:colOff>369612</xdr:colOff>
      <xdr:row>4</xdr:row>
      <xdr:rowOff>40792</xdr:rowOff>
    </xdr:to>
    <xdr:sp macro="" textlink="'Tabelas de Apoio'!$B$4">
      <xdr:nvSpPr>
        <xdr:cNvPr id="18" name="Retângulo: Cantos Arredondados 17">
          <a:extLst>
            <a:ext uri="{FF2B5EF4-FFF2-40B4-BE49-F238E27FC236}">
              <a16:creationId xmlns:a16="http://schemas.microsoft.com/office/drawing/2014/main" id="{B2FD9352-1A5B-4DA2-807F-A928274BE552}"/>
            </a:ext>
          </a:extLst>
        </xdr:cNvPr>
        <xdr:cNvSpPr/>
      </xdr:nvSpPr>
      <xdr:spPr>
        <a:xfrm>
          <a:off x="7103787" y="278917"/>
          <a:ext cx="1190625" cy="523875"/>
        </a:xfrm>
        <a:prstGeom prst="roundRect">
          <a:avLst/>
        </a:prstGeom>
        <a:solidFill>
          <a:srgbClr val="F0F5FA"/>
        </a:solidFill>
        <a:ln w="6350"/>
        <a:effectLst/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F4EF4F7-0B97-4F3F-97E6-BAA236951EA3}" type="TxLink">
            <a:rPr lang="en-US" sz="2400" b="0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378,5</a:t>
          </a:fld>
          <a:endParaRPr lang="pt-BR" sz="11500" b="1">
            <a:solidFill>
              <a:srgbClr val="002060"/>
            </a:solidFill>
          </a:endParaRPr>
        </a:p>
      </xdr:txBody>
    </xdr:sp>
    <xdr:clientData/>
  </xdr:twoCellAnchor>
  <xdr:twoCellAnchor>
    <xdr:from>
      <xdr:col>14</xdr:col>
      <xdr:colOff>333868</xdr:colOff>
      <xdr:row>1</xdr:row>
      <xdr:rowOff>40500</xdr:rowOff>
    </xdr:from>
    <xdr:to>
      <xdr:col>19</xdr:col>
      <xdr:colOff>361950</xdr:colOff>
      <xdr:row>35</xdr:row>
      <xdr:rowOff>176358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C1CFC0E9-4804-42B0-83B0-8B76D8F1D232}"/>
            </a:ext>
          </a:extLst>
        </xdr:cNvPr>
        <xdr:cNvSpPr/>
      </xdr:nvSpPr>
      <xdr:spPr>
        <a:xfrm>
          <a:off x="8868268" y="231000"/>
          <a:ext cx="3076082" cy="6612858"/>
        </a:xfrm>
        <a:prstGeom prst="roundRect">
          <a:avLst/>
        </a:prstGeom>
        <a:pattFill prst="pct50">
          <a:fgClr>
            <a:schemeClr val="tx2">
              <a:lumMod val="60000"/>
              <a:lumOff val="40000"/>
            </a:schemeClr>
          </a:fgClr>
          <a:bgClr>
            <a:srgbClr val="E8F0F8"/>
          </a:bgClr>
        </a:patt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428625</xdr:colOff>
      <xdr:row>15</xdr:row>
      <xdr:rowOff>143458</xdr:rowOff>
    </xdr:from>
    <xdr:to>
      <xdr:col>17</xdr:col>
      <xdr:colOff>262425</xdr:colOff>
      <xdr:row>35</xdr:row>
      <xdr:rowOff>48208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817DC1E-B4EB-4EF3-8A6A-9C8F55E3EC01}"/>
            </a:ext>
          </a:extLst>
        </xdr:cNvPr>
        <xdr:cNvSpPr/>
      </xdr:nvSpPr>
      <xdr:spPr>
        <a:xfrm>
          <a:off x="9001125" y="3059274"/>
          <a:ext cx="1670764" cy="3792505"/>
        </a:xfrm>
        <a:prstGeom prst="roundRect">
          <a:avLst/>
        </a:prstGeom>
        <a:solidFill>
          <a:srgbClr val="F0F5FA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152399</xdr:colOff>
      <xdr:row>16</xdr:row>
      <xdr:rowOff>152396</xdr:rowOff>
    </xdr:from>
    <xdr:to>
      <xdr:col>14</xdr:col>
      <xdr:colOff>28574</xdr:colOff>
      <xdr:row>35</xdr:row>
      <xdr:rowOff>95249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72ADE771-F670-4A9E-9DAF-A6C624BD2B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219075</xdr:colOff>
      <xdr:row>26</xdr:row>
      <xdr:rowOff>171450</xdr:rowOff>
    </xdr:from>
    <xdr:to>
      <xdr:col>12</xdr:col>
      <xdr:colOff>495299</xdr:colOff>
      <xdr:row>30</xdr:row>
      <xdr:rowOff>171450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5E868F1C-F4D7-4171-822A-6F5178C068B6}"/>
            </a:ext>
          </a:extLst>
        </xdr:cNvPr>
        <xdr:cNvSpPr txBox="1"/>
      </xdr:nvSpPr>
      <xdr:spPr>
        <a:xfrm>
          <a:off x="5705475" y="5124450"/>
          <a:ext cx="2105024" cy="762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>
              <a:solidFill>
                <a:srgbClr val="002060"/>
              </a:solidFill>
              <a:latin typeface="Arial Black" panose="020B0A04020102020204" pitchFamily="34" charset="0"/>
            </a:rPr>
            <a:t>Porcentagem</a:t>
          </a:r>
        </a:p>
        <a:p>
          <a:pPr algn="ctr"/>
          <a:r>
            <a:rPr lang="pt-BR" sz="1400" b="1">
              <a:solidFill>
                <a:srgbClr val="002060"/>
              </a:solidFill>
              <a:latin typeface="Arial Black" panose="020B0A04020102020204" pitchFamily="34" charset="0"/>
            </a:rPr>
            <a:t>por</a:t>
          </a:r>
          <a:r>
            <a:rPr lang="pt-BR" sz="1400" b="1" baseline="0">
              <a:solidFill>
                <a:srgbClr val="002060"/>
              </a:solidFill>
              <a:latin typeface="Arial Black" panose="020B0A04020102020204" pitchFamily="34" charset="0"/>
            </a:rPr>
            <a:t> usina</a:t>
          </a:r>
          <a:endParaRPr lang="pt-BR" sz="1400" b="1">
            <a:solidFill>
              <a:srgbClr val="00206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11</xdr:col>
      <xdr:colOff>248685</xdr:colOff>
      <xdr:row>12</xdr:row>
      <xdr:rowOff>176627</xdr:rowOff>
    </xdr:from>
    <xdr:to>
      <xdr:col>13</xdr:col>
      <xdr:colOff>524910</xdr:colOff>
      <xdr:row>14</xdr:row>
      <xdr:rowOff>109951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3444D980-CF5C-4492-814D-6275B003DBAE}"/>
            </a:ext>
          </a:extLst>
        </xdr:cNvPr>
        <xdr:cNvSpPr/>
      </xdr:nvSpPr>
      <xdr:spPr>
        <a:xfrm>
          <a:off x="6954285" y="2462627"/>
          <a:ext cx="1495425" cy="314324"/>
        </a:xfrm>
        <a:prstGeom prst="roundRect">
          <a:avLst/>
        </a:prstGeom>
        <a:solidFill>
          <a:srgbClr val="F0F5FA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8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205408</xdr:colOff>
      <xdr:row>13</xdr:row>
      <xdr:rowOff>31268</xdr:rowOff>
    </xdr:from>
    <xdr:to>
      <xdr:col>13</xdr:col>
      <xdr:colOff>549550</xdr:colOff>
      <xdr:row>14</xdr:row>
      <xdr:rowOff>126517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E246B560-C753-416D-9B0C-BC6D5B22B813}"/>
            </a:ext>
          </a:extLst>
        </xdr:cNvPr>
        <xdr:cNvSpPr txBox="1"/>
      </xdr:nvSpPr>
      <xdr:spPr>
        <a:xfrm>
          <a:off x="6911008" y="2507768"/>
          <a:ext cx="1563342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>
              <a:solidFill>
                <a:schemeClr val="accent1">
                  <a:lumMod val="50000"/>
                </a:schemeClr>
              </a:solidFill>
              <a:latin typeface="+mn-lt"/>
            </a:rPr>
            <a:t>Custo</a:t>
          </a:r>
          <a:r>
            <a:rPr lang="pt-BR" sz="1400" b="1" baseline="0">
              <a:solidFill>
                <a:schemeClr val="accent1">
                  <a:lumMod val="50000"/>
                </a:schemeClr>
              </a:solidFill>
              <a:latin typeface="+mn-lt"/>
            </a:rPr>
            <a:t> total</a:t>
          </a:r>
          <a:endParaRPr lang="pt-BR" sz="1400" b="1">
            <a:solidFill>
              <a:schemeClr val="accent1">
                <a:lumMod val="50000"/>
              </a:schemeClr>
            </a:solidFill>
            <a:latin typeface="+mn-lt"/>
          </a:endParaRPr>
        </a:p>
      </xdr:txBody>
    </xdr:sp>
    <xdr:clientData/>
  </xdr:twoCellAnchor>
  <xdr:twoCellAnchor>
    <xdr:from>
      <xdr:col>11</xdr:col>
      <xdr:colOff>396737</xdr:colOff>
      <xdr:row>10</xdr:row>
      <xdr:rowOff>143082</xdr:rowOff>
    </xdr:from>
    <xdr:to>
      <xdr:col>13</xdr:col>
      <xdr:colOff>368162</xdr:colOff>
      <xdr:row>13</xdr:row>
      <xdr:rowOff>94422</xdr:rowOff>
    </xdr:to>
    <xdr:sp macro="" textlink="'Tabelas de Apoio'!$B$5">
      <xdr:nvSpPr>
        <xdr:cNvPr id="30" name="Retângulo: Cantos Arredondados 29">
          <a:extLst>
            <a:ext uri="{FF2B5EF4-FFF2-40B4-BE49-F238E27FC236}">
              <a16:creationId xmlns:a16="http://schemas.microsoft.com/office/drawing/2014/main" id="{F25D0E6D-DB6B-409B-9C4A-B071AE4949E6}"/>
            </a:ext>
          </a:extLst>
        </xdr:cNvPr>
        <xdr:cNvSpPr/>
      </xdr:nvSpPr>
      <xdr:spPr>
        <a:xfrm>
          <a:off x="7102337" y="2048082"/>
          <a:ext cx="1190625" cy="522840"/>
        </a:xfrm>
        <a:prstGeom prst="roundRect">
          <a:avLst/>
        </a:prstGeom>
        <a:solidFill>
          <a:srgbClr val="F0F5FA"/>
        </a:solidFill>
        <a:ln w="6350"/>
        <a:effectLst/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2758D7-3065-4409-8FEB-DCA9DF0006B1}" type="TxLink">
            <a:rPr lang="en-US" sz="14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 R$ 717.795 </a:t>
          </a:fld>
          <a:endParaRPr lang="en-US" sz="2400" b="1">
            <a:solidFill>
              <a:srgbClr val="002060"/>
            </a:solidFill>
          </a:endParaRPr>
        </a:p>
      </xdr:txBody>
    </xdr:sp>
    <xdr:clientData/>
  </xdr:twoCellAnchor>
  <xdr:twoCellAnchor>
    <xdr:from>
      <xdr:col>7</xdr:col>
      <xdr:colOff>304800</xdr:colOff>
      <xdr:row>1</xdr:row>
      <xdr:rowOff>19050</xdr:rowOff>
    </xdr:from>
    <xdr:to>
      <xdr:col>9</xdr:col>
      <xdr:colOff>47625</xdr:colOff>
      <xdr:row>2</xdr:row>
      <xdr:rowOff>104775</xdr:rowOff>
    </xdr:to>
    <xdr:sp macro="[0]!macro_dep_detalha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6D7C1CD-FE6C-495E-B1FC-CD135BEEA4E8}"/>
            </a:ext>
          </a:extLst>
        </xdr:cNvPr>
        <xdr:cNvSpPr/>
      </xdr:nvSpPr>
      <xdr:spPr>
        <a:xfrm>
          <a:off x="4572000" y="209550"/>
          <a:ext cx="962025" cy="276225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i="0">
              <a:solidFill>
                <a:schemeClr val="bg1"/>
              </a:solidFill>
            </a:rPr>
            <a:t>DETALHADO</a:t>
          </a:r>
          <a:endParaRPr lang="pt-BR" sz="1100" i="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133350</xdr:colOff>
      <xdr:row>1</xdr:row>
      <xdr:rowOff>19050</xdr:rowOff>
    </xdr:from>
    <xdr:to>
      <xdr:col>10</xdr:col>
      <xdr:colOff>571500</xdr:colOff>
      <xdr:row>2</xdr:row>
      <xdr:rowOff>104775</xdr:rowOff>
    </xdr:to>
    <xdr:sp macro="[0]!macro_dep_simplificar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5BC82D4C-A871-4752-9BA0-3213D4E8CC57}"/>
            </a:ext>
          </a:extLst>
        </xdr:cNvPr>
        <xdr:cNvSpPr/>
      </xdr:nvSpPr>
      <xdr:spPr>
        <a:xfrm>
          <a:off x="5619750" y="209550"/>
          <a:ext cx="1047750" cy="276225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i="0" u="none"/>
            <a:t>SIMPLIFICADO</a:t>
          </a:r>
          <a:endParaRPr lang="pt-BR" sz="1100" i="0" u="none"/>
        </a:p>
      </xdr:txBody>
    </xdr:sp>
    <xdr:clientData/>
  </xdr:twoCellAnchor>
  <xdr:twoCellAnchor editAs="oneCell">
    <xdr:from>
      <xdr:col>0</xdr:col>
      <xdr:colOff>180620</xdr:colOff>
      <xdr:row>0</xdr:row>
      <xdr:rowOff>66494</xdr:rowOff>
    </xdr:from>
    <xdr:to>
      <xdr:col>0</xdr:col>
      <xdr:colOff>434902</xdr:colOff>
      <xdr:row>1</xdr:row>
      <xdr:rowOff>130276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61CDCE4-613D-4E12-9FD7-CB67DEE5A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478333">
          <a:off x="180620" y="66494"/>
          <a:ext cx="254282" cy="254282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171450</xdr:rowOff>
    </xdr:from>
    <xdr:to>
      <xdr:col>13</xdr:col>
      <xdr:colOff>294665</xdr:colOff>
      <xdr:row>10</xdr:row>
      <xdr:rowOff>75590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3B7D1970-5F73-4296-9989-8328719C1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1123950"/>
          <a:ext cx="856640" cy="856640"/>
        </a:xfrm>
        <a:prstGeom prst="rect">
          <a:avLst/>
        </a:prstGeom>
      </xdr:spPr>
    </xdr:pic>
    <xdr:clientData/>
  </xdr:twoCellAnchor>
  <xdr:twoCellAnchor editAs="oneCell">
    <xdr:from>
      <xdr:col>19</xdr:col>
      <xdr:colOff>552450</xdr:colOff>
      <xdr:row>3</xdr:row>
      <xdr:rowOff>47626</xdr:rowOff>
    </xdr:from>
    <xdr:to>
      <xdr:col>23</xdr:col>
      <xdr:colOff>114299</xdr:colOff>
      <xdr:row>5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Year">
              <a:extLst>
                <a:ext uri="{FF2B5EF4-FFF2-40B4-BE49-F238E27FC236}">
                  <a16:creationId xmlns:a16="http://schemas.microsoft.com/office/drawing/2014/main" id="{B38E3135-57B7-4A48-9BCD-AB1B8BC461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34850" y="619126"/>
              <a:ext cx="2000249" cy="4571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571500</xdr:colOff>
      <xdr:row>11</xdr:row>
      <xdr:rowOff>47623</xdr:rowOff>
    </xdr:from>
    <xdr:to>
      <xdr:col>21</xdr:col>
      <xdr:colOff>514350</xdr:colOff>
      <xdr:row>16</xdr:row>
      <xdr:rowOff>85724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urno">
              <a:extLst>
                <a:ext uri="{FF2B5EF4-FFF2-40B4-BE49-F238E27FC236}">
                  <a16:creationId xmlns:a16="http://schemas.microsoft.com/office/drawing/2014/main" id="{619DE870-4051-4750-B6AE-4D25536A0E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53900" y="2143123"/>
              <a:ext cx="1162050" cy="9906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571499</xdr:colOff>
      <xdr:row>11</xdr:row>
      <xdr:rowOff>45747</xdr:rowOff>
    </xdr:from>
    <xdr:to>
      <xdr:col>25</xdr:col>
      <xdr:colOff>180974</xdr:colOff>
      <xdr:row>17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ocalização">
              <a:extLst>
                <a:ext uri="{FF2B5EF4-FFF2-40B4-BE49-F238E27FC236}">
                  <a16:creationId xmlns:a16="http://schemas.microsoft.com/office/drawing/2014/main" id="{02567E24-36EC-4238-8084-278C3C5F0E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caliz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73099" y="2141247"/>
              <a:ext cx="2047875" cy="12210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561974</xdr:colOff>
      <xdr:row>5</xdr:row>
      <xdr:rowOff>123824</xdr:rowOff>
    </xdr:from>
    <xdr:to>
      <xdr:col>23</xdr:col>
      <xdr:colOff>114300</xdr:colOff>
      <xdr:row>10</xdr:row>
      <xdr:rowOff>190499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Month">
              <a:extLst>
                <a:ext uri="{FF2B5EF4-FFF2-40B4-BE49-F238E27FC236}">
                  <a16:creationId xmlns:a16="http://schemas.microsoft.com/office/drawing/2014/main" id="{B7467B73-55D3-407B-8502-CD6DEE7C29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44374" y="1076324"/>
              <a:ext cx="1990726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142873</xdr:colOff>
      <xdr:row>3</xdr:row>
      <xdr:rowOff>47626</xdr:rowOff>
    </xdr:from>
    <xdr:to>
      <xdr:col>26</xdr:col>
      <xdr:colOff>333374</xdr:colOff>
      <xdr:row>11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Department">
              <a:extLst>
                <a:ext uri="{FF2B5EF4-FFF2-40B4-BE49-F238E27FC236}">
                  <a16:creationId xmlns:a16="http://schemas.microsoft.com/office/drawing/2014/main" id="{4251B712-D628-464C-AFCC-78E12EF2E5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63673" y="619126"/>
              <a:ext cx="2019301" cy="1504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161925</xdr:colOff>
      <xdr:row>15</xdr:row>
      <xdr:rowOff>133350</xdr:rowOff>
    </xdr:from>
    <xdr:to>
      <xdr:col>0</xdr:col>
      <xdr:colOff>512429</xdr:colOff>
      <xdr:row>17</xdr:row>
      <xdr:rowOff>102854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8ECC8D27-1C06-4DD1-8C1A-45D7C9F2A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990850"/>
          <a:ext cx="350504" cy="350504"/>
        </a:xfrm>
        <a:prstGeom prst="rect">
          <a:avLst/>
        </a:prstGeom>
      </xdr:spPr>
    </xdr:pic>
    <xdr:clientData/>
  </xdr:twoCellAnchor>
  <xdr:twoCellAnchor editAs="oneCell">
    <xdr:from>
      <xdr:col>10</xdr:col>
      <xdr:colOff>123825</xdr:colOff>
      <xdr:row>21</xdr:row>
      <xdr:rowOff>123825</xdr:rowOff>
    </xdr:from>
    <xdr:to>
      <xdr:col>11</xdr:col>
      <xdr:colOff>581025</xdr:colOff>
      <xdr:row>27</xdr:row>
      <xdr:rowOff>47625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706A522D-1E02-4250-AE87-C5FCF9AF8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colorTemperature colorTemp="59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4124325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7</xdr:row>
      <xdr:rowOff>63962</xdr:rowOff>
    </xdr:from>
    <xdr:to>
      <xdr:col>13</xdr:col>
      <xdr:colOff>2137</xdr:colOff>
      <xdr:row>8</xdr:row>
      <xdr:rowOff>180363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8718C037-CC44-4121-AC4E-F45AE3745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1397462"/>
          <a:ext cx="390524" cy="306901"/>
        </a:xfrm>
        <a:prstGeom prst="rect">
          <a:avLst/>
        </a:prstGeom>
      </xdr:spPr>
    </xdr:pic>
    <xdr:clientData/>
  </xdr:twoCellAnchor>
  <xdr:twoCellAnchor editAs="oneCell">
    <xdr:from>
      <xdr:col>14</xdr:col>
      <xdr:colOff>247650</xdr:colOff>
      <xdr:row>0</xdr:row>
      <xdr:rowOff>104775</xdr:rowOff>
    </xdr:from>
    <xdr:to>
      <xdr:col>15</xdr:col>
      <xdr:colOff>243662</xdr:colOff>
      <xdr:row>3</xdr:row>
      <xdr:rowOff>138887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6ADAB2DD-3370-4FF4-944D-A947151B5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colorTemperature colorTemp="88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2050" y="104775"/>
          <a:ext cx="605612" cy="605612"/>
        </a:xfrm>
        <a:prstGeom prst="rect">
          <a:avLst/>
        </a:prstGeom>
      </xdr:spPr>
    </xdr:pic>
    <xdr:clientData/>
  </xdr:twoCellAnchor>
  <xdr:twoCellAnchor>
    <xdr:from>
      <xdr:col>15</xdr:col>
      <xdr:colOff>566848</xdr:colOff>
      <xdr:row>1</xdr:row>
      <xdr:rowOff>113672</xdr:rowOff>
    </xdr:from>
    <xdr:to>
      <xdr:col>18</xdr:col>
      <xdr:colOff>231467</xdr:colOff>
      <xdr:row>3</xdr:row>
      <xdr:rowOff>43108</xdr:rowOff>
    </xdr:to>
    <xdr:sp macro="" textlink="">
      <xdr:nvSpPr>
        <xdr:cNvPr id="65" name="ret_Tipo">
          <a:extLst>
            <a:ext uri="{FF2B5EF4-FFF2-40B4-BE49-F238E27FC236}">
              <a16:creationId xmlns:a16="http://schemas.microsoft.com/office/drawing/2014/main" id="{464EBF15-921E-4838-97D8-2E8E180474D8}"/>
            </a:ext>
          </a:extLst>
        </xdr:cNvPr>
        <xdr:cNvSpPr/>
      </xdr:nvSpPr>
      <xdr:spPr>
        <a:xfrm>
          <a:off x="9710848" y="304172"/>
          <a:ext cx="1493419" cy="310436"/>
        </a:xfrm>
        <a:prstGeom prst="roundRect">
          <a:avLst/>
        </a:prstGeom>
        <a:solidFill>
          <a:srgbClr val="D3E2F1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TIPO DE RELATO</a:t>
          </a:r>
        </a:p>
      </xdr:txBody>
    </xdr:sp>
    <xdr:clientData/>
  </xdr:twoCellAnchor>
  <xdr:twoCellAnchor>
    <xdr:from>
      <xdr:col>15</xdr:col>
      <xdr:colOff>105461</xdr:colOff>
      <xdr:row>3</xdr:row>
      <xdr:rowOff>127339</xdr:rowOff>
    </xdr:from>
    <xdr:to>
      <xdr:col>19</xdr:col>
      <xdr:colOff>18421</xdr:colOff>
      <xdr:row>12</xdr:row>
      <xdr:rowOff>146389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7D321E14-3D34-49CB-97B5-A08A44F95439}"/>
            </a:ext>
          </a:extLst>
        </xdr:cNvPr>
        <xdr:cNvSpPr/>
      </xdr:nvSpPr>
      <xdr:spPr>
        <a:xfrm>
          <a:off x="9249461" y="698839"/>
          <a:ext cx="2351360" cy="1733550"/>
        </a:xfrm>
        <a:prstGeom prst="roundRect">
          <a:avLst/>
        </a:prstGeom>
        <a:pattFill prst="shingle">
          <a:fgClr>
            <a:srgbClr val="E8F0F8"/>
          </a:fgClr>
          <a:bgClr>
            <a:schemeClr val="bg1"/>
          </a:bgClr>
        </a:patt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303062</xdr:colOff>
      <xdr:row>4</xdr:row>
      <xdr:rowOff>74821</xdr:rowOff>
    </xdr:from>
    <xdr:to>
      <xdr:col>16</xdr:col>
      <xdr:colOff>595234</xdr:colOff>
      <xdr:row>7</xdr:row>
      <xdr:rowOff>143880</xdr:rowOff>
    </xdr:to>
    <xdr:sp macro="[0]!macro_Pressionar_Quase" textlink="'Tabelas de Apoio'!D10">
      <xdr:nvSpPr>
        <xdr:cNvPr id="61" name="ret_Quase">
          <a:extLst>
            <a:ext uri="{FF2B5EF4-FFF2-40B4-BE49-F238E27FC236}">
              <a16:creationId xmlns:a16="http://schemas.microsoft.com/office/drawing/2014/main" id="{A94FCCCE-A58C-4C8B-BE67-A0B2B37DF91C}"/>
            </a:ext>
          </a:extLst>
        </xdr:cNvPr>
        <xdr:cNvSpPr/>
      </xdr:nvSpPr>
      <xdr:spPr>
        <a:xfrm>
          <a:off x="9487883" y="852372"/>
          <a:ext cx="904494" cy="65222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41D56C7-BAF2-4700-BD5D-4408BC412D01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Quase Acidente
139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149660</xdr:colOff>
      <xdr:row>4</xdr:row>
      <xdr:rowOff>71815</xdr:rowOff>
    </xdr:from>
    <xdr:to>
      <xdr:col>18</xdr:col>
      <xdr:colOff>440423</xdr:colOff>
      <xdr:row>7</xdr:row>
      <xdr:rowOff>140874</xdr:rowOff>
    </xdr:to>
    <xdr:sp macro="[0]!macro_Pressionar_Tempo" textlink="'Tabelas de Apoio'!D11">
      <xdr:nvSpPr>
        <xdr:cNvPr id="62" name="ret_Tempo">
          <a:extLst>
            <a:ext uri="{FF2B5EF4-FFF2-40B4-BE49-F238E27FC236}">
              <a16:creationId xmlns:a16="http://schemas.microsoft.com/office/drawing/2014/main" id="{D87DA09E-9E29-414C-811D-B9C0E5D2C6B2}"/>
            </a:ext>
          </a:extLst>
        </xdr:cNvPr>
        <xdr:cNvSpPr/>
      </xdr:nvSpPr>
      <xdr:spPr>
        <a:xfrm>
          <a:off x="10559124" y="849366"/>
          <a:ext cx="903085" cy="65222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8B59CE9-EA8C-47B6-9AD1-267B7FA1C11C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Tempo perdido
133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15</xdr:col>
      <xdr:colOff>37240</xdr:colOff>
      <xdr:row>11</xdr:row>
      <xdr:rowOff>64907</xdr:rowOff>
    </xdr:from>
    <xdr:to>
      <xdr:col>15</xdr:col>
      <xdr:colOff>357755</xdr:colOff>
      <xdr:row>13</xdr:row>
      <xdr:rowOff>39204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8D30BDF4-E25F-44AB-A9A8-FE4019693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2061" y="2203172"/>
          <a:ext cx="320515" cy="363073"/>
        </a:xfrm>
        <a:prstGeom prst="rect">
          <a:avLst/>
        </a:prstGeom>
      </xdr:spPr>
    </xdr:pic>
    <xdr:clientData/>
  </xdr:twoCellAnchor>
  <xdr:twoCellAnchor editAs="oneCell">
    <xdr:from>
      <xdr:col>19</xdr:col>
      <xdr:colOff>507844</xdr:colOff>
      <xdr:row>0</xdr:row>
      <xdr:rowOff>104541</xdr:rowOff>
    </xdr:from>
    <xdr:to>
      <xdr:col>20</xdr:col>
      <xdr:colOff>331136</xdr:colOff>
      <xdr:row>2</xdr:row>
      <xdr:rowOff>160151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9CD56C01-B03C-48DB-82F0-3F952028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colorTemperature colorTemp="11200"/>
                  </a14:imgEffect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0244" y="104541"/>
          <a:ext cx="432892" cy="436610"/>
        </a:xfrm>
        <a:prstGeom prst="rect">
          <a:avLst/>
        </a:prstGeom>
      </xdr:spPr>
    </xdr:pic>
    <xdr:clientData/>
  </xdr:twoCellAnchor>
  <xdr:twoCellAnchor>
    <xdr:from>
      <xdr:col>13</xdr:col>
      <xdr:colOff>523873</xdr:colOff>
      <xdr:row>2</xdr:row>
      <xdr:rowOff>161925</xdr:rowOff>
    </xdr:from>
    <xdr:to>
      <xdr:col>14</xdr:col>
      <xdr:colOff>419098</xdr:colOff>
      <xdr:row>13</xdr:row>
      <xdr:rowOff>114300</xdr:rowOff>
    </xdr:to>
    <xdr:sp macro="" textlink="">
      <xdr:nvSpPr>
        <xdr:cNvPr id="77" name="Sinal de Subtração 76">
          <a:extLst>
            <a:ext uri="{FF2B5EF4-FFF2-40B4-BE49-F238E27FC236}">
              <a16:creationId xmlns:a16="http://schemas.microsoft.com/office/drawing/2014/main" id="{BB6997F0-4BEC-45BA-8213-4495B0B1769F}"/>
            </a:ext>
          </a:extLst>
        </xdr:cNvPr>
        <xdr:cNvSpPr/>
      </xdr:nvSpPr>
      <xdr:spPr>
        <a:xfrm rot="5400000">
          <a:off x="7677148" y="1314450"/>
          <a:ext cx="2047875" cy="504825"/>
        </a:xfrm>
        <a:prstGeom prst="mathMinus">
          <a:avLst/>
        </a:prstGeom>
        <a:pattFill prst="dkDnDiag">
          <a:fgClr>
            <a:schemeClr val="accent1">
              <a:lumMod val="60000"/>
              <a:lumOff val="40000"/>
            </a:schemeClr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523873</xdr:colOff>
      <xdr:row>23</xdr:row>
      <xdr:rowOff>161925</xdr:rowOff>
    </xdr:from>
    <xdr:to>
      <xdr:col>14</xdr:col>
      <xdr:colOff>419098</xdr:colOff>
      <xdr:row>34</xdr:row>
      <xdr:rowOff>114300</xdr:rowOff>
    </xdr:to>
    <xdr:sp macro="" textlink="">
      <xdr:nvSpPr>
        <xdr:cNvPr id="78" name="Sinal de Subtração 77">
          <a:extLst>
            <a:ext uri="{FF2B5EF4-FFF2-40B4-BE49-F238E27FC236}">
              <a16:creationId xmlns:a16="http://schemas.microsoft.com/office/drawing/2014/main" id="{B8043C76-F404-4346-833A-E81C8E757673}"/>
            </a:ext>
          </a:extLst>
        </xdr:cNvPr>
        <xdr:cNvSpPr/>
      </xdr:nvSpPr>
      <xdr:spPr>
        <a:xfrm rot="5400000">
          <a:off x="7677148" y="5314950"/>
          <a:ext cx="2047875" cy="504825"/>
        </a:xfrm>
        <a:prstGeom prst="mathMinus">
          <a:avLst/>
        </a:prstGeom>
        <a:pattFill prst="dkDnDiag">
          <a:fgClr>
            <a:schemeClr val="accent1">
              <a:lumMod val="60000"/>
              <a:lumOff val="40000"/>
            </a:schemeClr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428625</xdr:colOff>
      <xdr:row>12</xdr:row>
      <xdr:rowOff>28575</xdr:rowOff>
    </xdr:from>
    <xdr:to>
      <xdr:col>27</xdr:col>
      <xdr:colOff>495300</xdr:colOff>
      <xdr:row>15</xdr:row>
      <xdr:rowOff>123825</xdr:rowOff>
    </xdr:to>
    <xdr:sp macro="[0]!macro_LimparFiltros" textlink="">
      <xdr:nvSpPr>
        <xdr:cNvPr id="45" name="ret_LimparFiltros">
          <a:extLst>
            <a:ext uri="{FF2B5EF4-FFF2-40B4-BE49-F238E27FC236}">
              <a16:creationId xmlns:a16="http://schemas.microsoft.com/office/drawing/2014/main" id="{4A75AFE4-9079-419C-805F-611745F7B84D}"/>
            </a:ext>
          </a:extLst>
        </xdr:cNvPr>
        <xdr:cNvSpPr/>
      </xdr:nvSpPr>
      <xdr:spPr>
        <a:xfrm>
          <a:off x="16278225" y="2314575"/>
          <a:ext cx="676275" cy="666750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0" u="none"/>
            <a:t>LIMPAR</a:t>
          </a:r>
          <a:r>
            <a:rPr lang="pt-BR" sz="1000" b="1" i="0" u="none" baseline="0"/>
            <a:t> </a:t>
          </a:r>
          <a:endParaRPr lang="pt-BR" sz="1050" b="1" i="0" u="none"/>
        </a:p>
      </xdr:txBody>
    </xdr:sp>
    <xdr:clientData/>
  </xdr:twoCellAnchor>
  <xdr:twoCellAnchor>
    <xdr:from>
      <xdr:col>19</xdr:col>
      <xdr:colOff>466725</xdr:colOff>
      <xdr:row>18</xdr:row>
      <xdr:rowOff>133351</xdr:rowOff>
    </xdr:from>
    <xdr:to>
      <xdr:col>28</xdr:col>
      <xdr:colOff>504825</xdr:colOff>
      <xdr:row>35</xdr:row>
      <xdr:rowOff>66675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5B7AF1B5-9F08-4455-8FCB-B9A5E24DC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19</xdr:col>
      <xdr:colOff>371475</xdr:colOff>
      <xdr:row>18</xdr:row>
      <xdr:rowOff>9525</xdr:rowOff>
    </xdr:from>
    <xdr:to>
      <xdr:col>20</xdr:col>
      <xdr:colOff>77921</xdr:colOff>
      <xdr:row>19</xdr:row>
      <xdr:rowOff>135071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5676E62-0C8E-4EA4-92D7-9B1CE9BA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3438525"/>
          <a:ext cx="316046" cy="316046"/>
        </a:xfrm>
        <a:prstGeom prst="rect">
          <a:avLst/>
        </a:prstGeom>
      </xdr:spPr>
    </xdr:pic>
    <xdr:clientData/>
  </xdr:twoCellAnchor>
  <xdr:twoCellAnchor editAs="oneCell">
    <xdr:from>
      <xdr:col>25</xdr:col>
      <xdr:colOff>238125</xdr:colOff>
      <xdr:row>11</xdr:row>
      <xdr:rowOff>38100</xdr:rowOff>
    </xdr:from>
    <xdr:to>
      <xdr:col>26</xdr:col>
      <xdr:colOff>323850</xdr:colOff>
      <xdr:row>17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Age Group">
              <a:extLst>
                <a:ext uri="{FF2B5EF4-FFF2-40B4-BE49-F238E27FC236}">
                  <a16:creationId xmlns:a16="http://schemas.microsoft.com/office/drawing/2014/main" id="{7AC8AE45-4104-47FB-B38B-0E3B230577F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Grou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78125" y="2133600"/>
              <a:ext cx="695325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26</xdr:col>
      <xdr:colOff>438151</xdr:colOff>
      <xdr:row>7</xdr:row>
      <xdr:rowOff>76200</xdr:rowOff>
    </xdr:from>
    <xdr:to>
      <xdr:col>27</xdr:col>
      <xdr:colOff>419100</xdr:colOff>
      <xdr:row>10</xdr:row>
      <xdr:rowOff>66675</xdr:rowOff>
    </xdr:to>
    <xdr:sp macro="" textlink="">
      <xdr:nvSpPr>
        <xdr:cNvPr id="57" name="Retângulo: Cantos Arredondados 56">
          <a:extLst>
            <a:ext uri="{FF2B5EF4-FFF2-40B4-BE49-F238E27FC236}">
              <a16:creationId xmlns:a16="http://schemas.microsoft.com/office/drawing/2014/main" id="{CE89E32D-2B37-419D-AB4A-4337DA67A351}"/>
            </a:ext>
          </a:extLst>
        </xdr:cNvPr>
        <xdr:cNvSpPr/>
      </xdr:nvSpPr>
      <xdr:spPr>
        <a:xfrm>
          <a:off x="16287751" y="1409700"/>
          <a:ext cx="590549" cy="561975"/>
        </a:xfrm>
        <a:prstGeom prst="roundRect">
          <a:avLst/>
        </a:prstGeom>
        <a:solidFill>
          <a:srgbClr val="F0F5FA">
            <a:alpha val="72157"/>
          </a:srgbClr>
        </a:solidFill>
        <a:ln w="6350"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26</xdr:col>
      <xdr:colOff>514350</xdr:colOff>
      <xdr:row>7</xdr:row>
      <xdr:rowOff>123825</xdr:rowOff>
    </xdr:from>
    <xdr:to>
      <xdr:col>27</xdr:col>
      <xdr:colOff>355339</xdr:colOff>
      <xdr:row>10</xdr:row>
      <xdr:rowOff>2915</xdr:rowOff>
    </xdr:to>
    <xdr:pic macro="[0]!macro_Feminino">
      <xdr:nvPicPr>
        <xdr:cNvPr id="42" name="Imagem 41">
          <a:extLst>
            <a:ext uri="{FF2B5EF4-FFF2-40B4-BE49-F238E27FC236}">
              <a16:creationId xmlns:a16="http://schemas.microsoft.com/office/drawing/2014/main" id="{566FC09F-C636-4820-B8F1-DA8E5E930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3950" y="1457325"/>
          <a:ext cx="450589" cy="450590"/>
        </a:xfrm>
        <a:prstGeom prst="rect">
          <a:avLst/>
        </a:prstGeom>
      </xdr:spPr>
    </xdr:pic>
    <xdr:clientData/>
  </xdr:twoCellAnchor>
  <xdr:twoCellAnchor>
    <xdr:from>
      <xdr:col>26</xdr:col>
      <xdr:colOff>438150</xdr:colOff>
      <xdr:row>3</xdr:row>
      <xdr:rowOff>133351</xdr:rowOff>
    </xdr:from>
    <xdr:to>
      <xdr:col>27</xdr:col>
      <xdr:colOff>430911</xdr:colOff>
      <xdr:row>6</xdr:row>
      <xdr:rowOff>123825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ED167D75-38BC-4D5A-982A-B05BFEEDF5A1}"/>
            </a:ext>
          </a:extLst>
        </xdr:cNvPr>
        <xdr:cNvSpPr/>
      </xdr:nvSpPr>
      <xdr:spPr>
        <a:xfrm>
          <a:off x="16287750" y="704851"/>
          <a:ext cx="602361" cy="561974"/>
        </a:xfrm>
        <a:prstGeom prst="roundRect">
          <a:avLst/>
        </a:prstGeom>
        <a:solidFill>
          <a:srgbClr val="F0F5FA">
            <a:alpha val="72157"/>
          </a:srgbClr>
        </a:solidFill>
        <a:ln w="6350"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26</xdr:col>
      <xdr:colOff>533400</xdr:colOff>
      <xdr:row>4</xdr:row>
      <xdr:rowOff>38100</xdr:rowOff>
    </xdr:from>
    <xdr:to>
      <xdr:col>27</xdr:col>
      <xdr:colOff>302486</xdr:colOff>
      <xdr:row>6</xdr:row>
      <xdr:rowOff>35786</xdr:rowOff>
    </xdr:to>
    <xdr:pic macro="[0]!macro_Masculino">
      <xdr:nvPicPr>
        <xdr:cNvPr id="40" name="Imagem 39">
          <a:extLst>
            <a:ext uri="{FF2B5EF4-FFF2-40B4-BE49-F238E27FC236}">
              <a16:creationId xmlns:a16="http://schemas.microsoft.com/office/drawing/2014/main" id="{C751129B-AEC9-41E7-A6A9-3012299DF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0" y="800100"/>
          <a:ext cx="378686" cy="378686"/>
        </a:xfrm>
        <a:prstGeom prst="rect">
          <a:avLst/>
        </a:prstGeom>
      </xdr:spPr>
    </xdr:pic>
    <xdr:clientData/>
  </xdr:twoCellAnchor>
  <xdr:twoCellAnchor>
    <xdr:from>
      <xdr:col>28</xdr:col>
      <xdr:colOff>123826</xdr:colOff>
      <xdr:row>4</xdr:row>
      <xdr:rowOff>9525</xdr:rowOff>
    </xdr:from>
    <xdr:to>
      <xdr:col>28</xdr:col>
      <xdr:colOff>581026</xdr:colOff>
      <xdr:row>15</xdr:row>
      <xdr:rowOff>114300</xdr:rowOff>
    </xdr:to>
    <xdr:sp macro="" textlink="">
      <xdr:nvSpPr>
        <xdr:cNvPr id="60" name="ret_LimparFiltros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775B4CC-5007-4345-AFB4-119EC4685ACB}"/>
            </a:ext>
          </a:extLst>
        </xdr:cNvPr>
        <xdr:cNvSpPr/>
      </xdr:nvSpPr>
      <xdr:spPr>
        <a:xfrm>
          <a:off x="17192626" y="771525"/>
          <a:ext cx="457200" cy="2200275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 u="none">
              <a:latin typeface="Arial Black" panose="020B0A04020102020204" pitchFamily="34" charset="0"/>
            </a:rPr>
            <a:t>ÍNDICE</a:t>
          </a:r>
          <a:r>
            <a:rPr lang="pt-BR" sz="1800" b="1" i="0" u="none" baseline="0">
              <a:latin typeface="Arial Black" panose="020B0A04020102020204" pitchFamily="34" charset="0"/>
            </a:rPr>
            <a:t> </a:t>
          </a:r>
          <a:endParaRPr lang="pt-BR" sz="2000" b="1" i="0" u="none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17</xdr:col>
      <xdr:colOff>333376</xdr:colOff>
      <xdr:row>19</xdr:row>
      <xdr:rowOff>114300</xdr:rowOff>
    </xdr:from>
    <xdr:to>
      <xdr:col>19</xdr:col>
      <xdr:colOff>303474</xdr:colOff>
      <xdr:row>34</xdr:row>
      <xdr:rowOff>133350</xdr:rowOff>
    </xdr:to>
    <xdr:sp macro="" textlink="">
      <xdr:nvSpPr>
        <xdr:cNvPr id="82" name="Retângulo: Cantos Arredondados 81">
          <a:extLst>
            <a:ext uri="{FF2B5EF4-FFF2-40B4-BE49-F238E27FC236}">
              <a16:creationId xmlns:a16="http://schemas.microsoft.com/office/drawing/2014/main" id="{9666600E-F1CF-441C-9E51-6D1BB1FEDBEF}"/>
            </a:ext>
          </a:extLst>
        </xdr:cNvPr>
        <xdr:cNvSpPr/>
      </xdr:nvSpPr>
      <xdr:spPr>
        <a:xfrm>
          <a:off x="10696576" y="3733800"/>
          <a:ext cx="1189298" cy="2876550"/>
        </a:xfrm>
        <a:prstGeom prst="roundRect">
          <a:avLst/>
        </a:prstGeom>
        <a:solidFill>
          <a:srgbClr val="F0F5FA">
            <a:alpha val="72157"/>
          </a:srgb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529024</xdr:colOff>
      <xdr:row>14</xdr:row>
      <xdr:rowOff>156773</xdr:rowOff>
    </xdr:from>
    <xdr:to>
      <xdr:col>17</xdr:col>
      <xdr:colOff>343304</xdr:colOff>
      <xdr:row>36</xdr:row>
      <xdr:rowOff>13900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2E3D1554-CA6A-4539-BDBF-D41BA96075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558"/>
        <a:stretch/>
      </xdr:blipFill>
      <xdr:spPr>
        <a:xfrm>
          <a:off x="7844224" y="2823773"/>
          <a:ext cx="2862280" cy="4048127"/>
        </a:xfrm>
        <a:prstGeom prst="rect">
          <a:avLst/>
        </a:prstGeom>
      </xdr:spPr>
    </xdr:pic>
    <xdr:clientData/>
  </xdr:twoCellAnchor>
  <xdr:twoCellAnchor>
    <xdr:from>
      <xdr:col>14</xdr:col>
      <xdr:colOff>138173</xdr:colOff>
      <xdr:row>22</xdr:row>
      <xdr:rowOff>134541</xdr:rowOff>
    </xdr:from>
    <xdr:to>
      <xdr:col>17</xdr:col>
      <xdr:colOff>572517</xdr:colOff>
      <xdr:row>25</xdr:row>
      <xdr:rowOff>141023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A1D2D121-B1BA-47D0-9A42-27C195BD13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14</xdr:col>
      <xdr:colOff>77755</xdr:colOff>
      <xdr:row>22</xdr:row>
      <xdr:rowOff>11251</xdr:rowOff>
    </xdr:from>
    <xdr:to>
      <xdr:col>18</xdr:col>
      <xdr:colOff>34017</xdr:colOff>
      <xdr:row>26</xdr:row>
      <xdr:rowOff>29155</xdr:rowOff>
    </xdr:to>
    <xdr:graphicFrame macro="">
      <xdr:nvGraphicFramePr>
        <xdr:cNvPr id="83" name="graf_Abdomen">
          <a:extLst>
            <a:ext uri="{FF2B5EF4-FFF2-40B4-BE49-F238E27FC236}">
              <a16:creationId xmlns:a16="http://schemas.microsoft.com/office/drawing/2014/main" id="{2E963B0C-54E3-48C7-A519-13F9F5A40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14</xdr:col>
      <xdr:colOff>185591</xdr:colOff>
      <xdr:row>15</xdr:row>
      <xdr:rowOff>136072</xdr:rowOff>
    </xdr:from>
    <xdr:to>
      <xdr:col>17</xdr:col>
      <xdr:colOff>280454</xdr:colOff>
      <xdr:row>19</xdr:row>
      <xdr:rowOff>56528</xdr:rowOff>
    </xdr:to>
    <xdr:graphicFrame macro="">
      <xdr:nvGraphicFramePr>
        <xdr:cNvPr id="92" name="graf_Pescoço">
          <a:extLst>
            <a:ext uri="{FF2B5EF4-FFF2-40B4-BE49-F238E27FC236}">
              <a16:creationId xmlns:a16="http://schemas.microsoft.com/office/drawing/2014/main" id="{4B7015A8-EEB2-4264-AC74-2C806F50AD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588022</xdr:colOff>
      <xdr:row>12</xdr:row>
      <xdr:rowOff>53651</xdr:rowOff>
    </xdr:from>
    <xdr:to>
      <xdr:col>18</xdr:col>
      <xdr:colOff>155510</xdr:colOff>
      <xdr:row>35</xdr:row>
      <xdr:rowOff>136072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96AA983-D2BD-4708-9C2F-A6440F555FEC}"/>
            </a:ext>
          </a:extLst>
        </xdr:cNvPr>
        <xdr:cNvGrpSpPr/>
      </xdr:nvGrpSpPr>
      <xdr:grpSpPr>
        <a:xfrm>
          <a:off x="8548201" y="2339651"/>
          <a:ext cx="2629095" cy="4463921"/>
          <a:chOff x="8512822" y="2330126"/>
          <a:chExt cx="2615488" cy="4463921"/>
        </a:xfrm>
      </xdr:grpSpPr>
      <xdr:graphicFrame macro="">
        <xdr:nvGraphicFramePr>
          <xdr:cNvPr id="87" name="graf_Cabeça">
            <a:extLst>
              <a:ext uri="{FF2B5EF4-FFF2-40B4-BE49-F238E27FC236}">
                <a16:creationId xmlns:a16="http://schemas.microsoft.com/office/drawing/2014/main" id="{FABE84C9-008C-4B6B-B901-3E959568C4CE}"/>
              </a:ext>
            </a:extLst>
          </xdr:cNvPr>
          <xdr:cNvGraphicFramePr>
            <a:graphicFrameLocks/>
          </xdr:cNvGraphicFramePr>
        </xdr:nvGraphicFramePr>
        <xdr:xfrm>
          <a:off x="8738508" y="2330126"/>
          <a:ext cx="2029291" cy="12751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91" name="graf_Pernas">
            <a:extLst>
              <a:ext uri="{FF2B5EF4-FFF2-40B4-BE49-F238E27FC236}">
                <a16:creationId xmlns:a16="http://schemas.microsoft.com/office/drawing/2014/main" id="{78AAE26D-A815-4392-8C19-D8134415133E}"/>
              </a:ext>
            </a:extLst>
          </xdr:cNvPr>
          <xdr:cNvGraphicFramePr>
            <a:graphicFrameLocks/>
          </xdr:cNvGraphicFramePr>
        </xdr:nvGraphicFramePr>
        <xdr:xfrm>
          <a:off x="8512822" y="4478694"/>
          <a:ext cx="2615488" cy="19011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96" name="graf_Pés">
            <a:extLst>
              <a:ext uri="{FF2B5EF4-FFF2-40B4-BE49-F238E27FC236}">
                <a16:creationId xmlns:a16="http://schemas.microsoft.com/office/drawing/2014/main" id="{3175ABEF-1A2A-4886-998D-076020F92D11}"/>
              </a:ext>
            </a:extLst>
          </xdr:cNvPr>
          <xdr:cNvGraphicFramePr>
            <a:graphicFrameLocks/>
          </xdr:cNvGraphicFramePr>
        </xdr:nvGraphicFramePr>
        <xdr:xfrm>
          <a:off x="8723928" y="5710334"/>
          <a:ext cx="2154400" cy="10837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graphicFrame macro="">
        <xdr:nvGraphicFramePr>
          <xdr:cNvPr id="98" name="graf_Braço1">
            <a:extLst>
              <a:ext uri="{FF2B5EF4-FFF2-40B4-BE49-F238E27FC236}">
                <a16:creationId xmlns:a16="http://schemas.microsoft.com/office/drawing/2014/main" id="{BA5EEF40-E394-454C-B094-1B5DD6804F38}"/>
              </a:ext>
            </a:extLst>
          </xdr:cNvPr>
          <xdr:cNvGraphicFramePr>
            <a:graphicFrameLocks/>
          </xdr:cNvGraphicFramePr>
        </xdr:nvGraphicFramePr>
        <xdr:xfrm>
          <a:off x="8647520" y="3203704"/>
          <a:ext cx="1304076" cy="21366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graphicFrame macro="">
        <xdr:nvGraphicFramePr>
          <xdr:cNvPr id="99" name="graf_Braço1">
            <a:extLst>
              <a:ext uri="{FF2B5EF4-FFF2-40B4-BE49-F238E27FC236}">
                <a16:creationId xmlns:a16="http://schemas.microsoft.com/office/drawing/2014/main" id="{843F822B-887B-4986-A926-8AA25EE8C403}"/>
              </a:ext>
            </a:extLst>
          </xdr:cNvPr>
          <xdr:cNvGraphicFramePr>
            <a:graphicFrameLocks/>
          </xdr:cNvGraphicFramePr>
        </xdr:nvGraphicFramePr>
        <xdr:xfrm>
          <a:off x="9688692" y="3189321"/>
          <a:ext cx="1220266" cy="21615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graphicFrame macro="">
        <xdr:nvGraphicFramePr>
          <xdr:cNvPr id="101" name="Gráfico 100">
            <a:extLst>
              <a:ext uri="{FF2B5EF4-FFF2-40B4-BE49-F238E27FC236}">
                <a16:creationId xmlns:a16="http://schemas.microsoft.com/office/drawing/2014/main" id="{C8F9CCCD-BB64-4DC9-AF71-C8D38E250683}"/>
              </a:ext>
            </a:extLst>
          </xdr:cNvPr>
          <xdr:cNvGraphicFramePr>
            <a:graphicFrameLocks/>
          </xdr:cNvGraphicFramePr>
        </xdr:nvGraphicFramePr>
        <xdr:xfrm>
          <a:off x="8522542" y="3221389"/>
          <a:ext cx="2566891" cy="15160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1"/>
          </a:graphicData>
        </a:graphic>
      </xdr:graphicFrame>
    </xdr:grpSp>
    <xdr:clientData/>
  </xdr:twoCellAnchor>
  <xdr:twoCellAnchor editAs="oneCell">
    <xdr:from>
      <xdr:col>17</xdr:col>
      <xdr:colOff>386571</xdr:colOff>
      <xdr:row>20</xdr:row>
      <xdr:rowOff>65121</xdr:rowOff>
    </xdr:from>
    <xdr:to>
      <xdr:col>19</xdr:col>
      <xdr:colOff>259789</xdr:colOff>
      <xdr:row>34</xdr:row>
      <xdr:rowOff>30561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njured part">
              <a:extLst>
                <a:ext uri="{FF2B5EF4-FFF2-40B4-BE49-F238E27FC236}">
                  <a16:creationId xmlns:a16="http://schemas.microsoft.com/office/drawing/2014/main" id="{F6ECA23B-ACB1-493C-932F-BAF53E0966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jured par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49771" y="3875121"/>
              <a:ext cx="1092418" cy="2632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15</xdr:col>
      <xdr:colOff>316096</xdr:colOff>
      <xdr:row>8</xdr:row>
      <xdr:rowOff>104902</xdr:rowOff>
    </xdr:from>
    <xdr:to>
      <xdr:col>16</xdr:col>
      <xdr:colOff>608268</xdr:colOff>
      <xdr:row>11</xdr:row>
      <xdr:rowOff>173961</xdr:rowOff>
    </xdr:to>
    <xdr:sp macro="[0]!macro_Pressionar_Socorro" textlink="'Tabelas de Apoio'!D12">
      <xdr:nvSpPr>
        <xdr:cNvPr id="63" name="ret_Socorro">
          <a:extLst>
            <a:ext uri="{FF2B5EF4-FFF2-40B4-BE49-F238E27FC236}">
              <a16:creationId xmlns:a16="http://schemas.microsoft.com/office/drawing/2014/main" id="{BADEE1D7-0EBF-4FC0-940A-DBE098FB88E8}"/>
            </a:ext>
          </a:extLst>
        </xdr:cNvPr>
        <xdr:cNvSpPr/>
      </xdr:nvSpPr>
      <xdr:spPr>
        <a:xfrm>
          <a:off x="9500917" y="1660004"/>
          <a:ext cx="904494" cy="65222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FBA36BE-057C-47B7-90BE-E18A5234C458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Primeiros-Socorros
114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158683</xdr:colOff>
      <xdr:row>8</xdr:row>
      <xdr:rowOff>120945</xdr:rowOff>
    </xdr:from>
    <xdr:to>
      <xdr:col>18</xdr:col>
      <xdr:colOff>449446</xdr:colOff>
      <xdr:row>11</xdr:row>
      <xdr:rowOff>190004</xdr:rowOff>
    </xdr:to>
    <xdr:sp macro="[0]!macro_Pressionar_Licença" textlink="'Tabelas de Apoio'!D13">
      <xdr:nvSpPr>
        <xdr:cNvPr id="64" name="ret_Licença">
          <a:extLst>
            <a:ext uri="{FF2B5EF4-FFF2-40B4-BE49-F238E27FC236}">
              <a16:creationId xmlns:a16="http://schemas.microsoft.com/office/drawing/2014/main" id="{DF03BF8D-CA98-478A-8C2F-6535C882035C}"/>
            </a:ext>
          </a:extLst>
        </xdr:cNvPr>
        <xdr:cNvSpPr/>
      </xdr:nvSpPr>
      <xdr:spPr>
        <a:xfrm>
          <a:off x="10568147" y="1676047"/>
          <a:ext cx="903085" cy="65222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FF341E-088E-48AE-8225-40F5255C17E8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Licença-Médica
128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544689</xdr:colOff>
      <xdr:row>13</xdr:row>
      <xdr:rowOff>106868</xdr:rowOff>
    </xdr:from>
    <xdr:to>
      <xdr:col>18</xdr:col>
      <xdr:colOff>209308</xdr:colOff>
      <xdr:row>15</xdr:row>
      <xdr:rowOff>36304</xdr:rowOff>
    </xdr:to>
    <xdr:sp macro="" textlink="">
      <xdr:nvSpPr>
        <xdr:cNvPr id="94" name="ret_Tipo">
          <a:extLst>
            <a:ext uri="{FF2B5EF4-FFF2-40B4-BE49-F238E27FC236}">
              <a16:creationId xmlns:a16="http://schemas.microsoft.com/office/drawing/2014/main" id="{3AEE5499-6D3C-427E-8181-08270B535349}"/>
            </a:ext>
          </a:extLst>
        </xdr:cNvPr>
        <xdr:cNvSpPr/>
      </xdr:nvSpPr>
      <xdr:spPr>
        <a:xfrm>
          <a:off x="9688689" y="2583368"/>
          <a:ext cx="1493419" cy="310436"/>
        </a:xfrm>
        <a:prstGeom prst="roundRect">
          <a:avLst/>
        </a:prstGeom>
        <a:solidFill>
          <a:srgbClr val="D3E2F1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LOCAL</a:t>
          </a:r>
          <a:r>
            <a:rPr lang="en-US" sz="1200" b="1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DO DANO</a:t>
          </a:r>
          <a:endParaRPr lang="en-US" sz="1200" b="1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6</xdr:col>
      <xdr:colOff>400051</xdr:colOff>
      <xdr:row>16</xdr:row>
      <xdr:rowOff>104775</xdr:rowOff>
    </xdr:from>
    <xdr:to>
      <xdr:col>7</xdr:col>
      <xdr:colOff>590551</xdr:colOff>
      <xdr:row>19</xdr:row>
      <xdr:rowOff>0</xdr:rowOff>
    </xdr:to>
    <xdr:sp macro="[0]!macro_Escala" textlink="">
      <xdr:nvSpPr>
        <xdr:cNvPr id="71" name="Retângulo: Cantos Arredondados 70">
          <a:extLst>
            <a:ext uri="{FF2B5EF4-FFF2-40B4-BE49-F238E27FC236}">
              <a16:creationId xmlns:a16="http://schemas.microsoft.com/office/drawing/2014/main" id="{ACFBD992-A127-4606-B652-21922CC23ED7}"/>
            </a:ext>
          </a:extLst>
        </xdr:cNvPr>
        <xdr:cNvSpPr/>
      </xdr:nvSpPr>
      <xdr:spPr>
        <a:xfrm>
          <a:off x="4057651" y="3152775"/>
          <a:ext cx="800100" cy="466725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</a:rPr>
            <a:t>Otimizar</a:t>
          </a:r>
        </a:p>
        <a:p>
          <a:pPr algn="ctr"/>
          <a:r>
            <a:rPr lang="pt-BR" sz="1050" b="1" i="0" baseline="0">
              <a:solidFill>
                <a:schemeClr val="bg1"/>
              </a:solidFill>
            </a:rPr>
            <a:t>Escala</a:t>
          </a:r>
        </a:p>
      </xdr:txBody>
    </xdr:sp>
    <xdr:clientData/>
  </xdr:twoCellAnchor>
  <xdr:twoCellAnchor>
    <xdr:from>
      <xdr:col>17</xdr:col>
      <xdr:colOff>382764</xdr:colOff>
      <xdr:row>17</xdr:row>
      <xdr:rowOff>104775</xdr:rowOff>
    </xdr:from>
    <xdr:to>
      <xdr:col>19</xdr:col>
      <xdr:colOff>257175</xdr:colOff>
      <xdr:row>18</xdr:row>
      <xdr:rowOff>188704</xdr:rowOff>
    </xdr:to>
    <xdr:sp macro="" textlink="">
      <xdr:nvSpPr>
        <xdr:cNvPr id="72" name="ret_Tipo">
          <a:extLst>
            <a:ext uri="{FF2B5EF4-FFF2-40B4-BE49-F238E27FC236}">
              <a16:creationId xmlns:a16="http://schemas.microsoft.com/office/drawing/2014/main" id="{447F6F20-760E-45DD-A57E-294BE57328F1}"/>
            </a:ext>
          </a:extLst>
        </xdr:cNvPr>
        <xdr:cNvSpPr/>
      </xdr:nvSpPr>
      <xdr:spPr>
        <a:xfrm>
          <a:off x="10745964" y="3343275"/>
          <a:ext cx="1093611" cy="274429"/>
        </a:xfrm>
        <a:prstGeom prst="roundRect">
          <a:avLst/>
        </a:prstGeom>
        <a:solidFill>
          <a:srgbClr val="F0F5FA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QUANTIDADE</a:t>
          </a:r>
        </a:p>
      </xdr:txBody>
    </xdr:sp>
    <xdr:clientData/>
  </xdr:twoCellAnchor>
  <xdr:twoCellAnchor>
    <xdr:from>
      <xdr:col>18</xdr:col>
      <xdr:colOff>1764</xdr:colOff>
      <xdr:row>16</xdr:row>
      <xdr:rowOff>40193</xdr:rowOff>
    </xdr:from>
    <xdr:to>
      <xdr:col>19</xdr:col>
      <xdr:colOff>28575</xdr:colOff>
      <xdr:row>17</xdr:row>
      <xdr:rowOff>160129</xdr:rowOff>
    </xdr:to>
    <xdr:sp macro="" textlink="'Tabelas de Apoio'!$K$17">
      <xdr:nvSpPr>
        <xdr:cNvPr id="73" name="ret_Tipo">
          <a:extLst>
            <a:ext uri="{FF2B5EF4-FFF2-40B4-BE49-F238E27FC236}">
              <a16:creationId xmlns:a16="http://schemas.microsoft.com/office/drawing/2014/main" id="{EDE2A01E-8513-4134-AE95-CD7C1D7D913F}"/>
            </a:ext>
          </a:extLst>
        </xdr:cNvPr>
        <xdr:cNvSpPr/>
      </xdr:nvSpPr>
      <xdr:spPr>
        <a:xfrm>
          <a:off x="10974564" y="3088193"/>
          <a:ext cx="636411" cy="310436"/>
        </a:xfrm>
        <a:prstGeom prst="roundRect">
          <a:avLst/>
        </a:prstGeom>
        <a:solidFill>
          <a:srgbClr val="F0F5FA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FFBFAEE-D29E-4B24-8CE0-AA7F5C96339E}" type="TxLink">
            <a:rPr lang="en-US" sz="14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514</a:t>
          </a:fld>
          <a:endParaRPr lang="en-US" sz="1600" b="1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13608</xdr:colOff>
      <xdr:row>18</xdr:row>
      <xdr:rowOff>122463</xdr:rowOff>
    </xdr:from>
    <xdr:to>
      <xdr:col>17</xdr:col>
      <xdr:colOff>85724</xdr:colOff>
      <xdr:row>23</xdr:row>
      <xdr:rowOff>23132</xdr:rowOff>
    </xdr:to>
    <xdr:graphicFrame macro="">
      <xdr:nvGraphicFramePr>
        <xdr:cNvPr id="75" name="graph_Multiplos">
          <a:extLst>
            <a:ext uri="{FF2B5EF4-FFF2-40B4-BE49-F238E27FC236}">
              <a16:creationId xmlns:a16="http://schemas.microsoft.com/office/drawing/2014/main" id="{FB813A4A-D933-48D7-8058-E57B9FB970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119063</xdr:rowOff>
    </xdr:from>
    <xdr:to>
      <xdr:col>6</xdr:col>
      <xdr:colOff>11906</xdr:colOff>
      <xdr:row>0</xdr:row>
      <xdr:rowOff>1071563</xdr:rowOff>
    </xdr:to>
    <xdr:sp macro="" textlink="">
      <xdr:nvSpPr>
        <xdr:cNvPr id="2" name="ret_LimparFiltro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9D34C7-13A3-4325-99BC-C24A32129BAA}"/>
            </a:ext>
          </a:extLst>
        </xdr:cNvPr>
        <xdr:cNvSpPr/>
      </xdr:nvSpPr>
      <xdr:spPr>
        <a:xfrm>
          <a:off x="95250" y="119063"/>
          <a:ext cx="5250656" cy="952500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 u="none">
              <a:latin typeface="Arial Black" panose="020B0A04020102020204" pitchFamily="34" charset="0"/>
            </a:rPr>
            <a:t>ÍNDICE</a:t>
          </a:r>
          <a:r>
            <a:rPr lang="pt-BR" sz="1800" b="1" i="0" u="none" baseline="0">
              <a:latin typeface="Arial Black" panose="020B0A04020102020204" pitchFamily="34" charset="0"/>
            </a:rPr>
            <a:t> </a:t>
          </a:r>
          <a:endParaRPr lang="pt-BR" sz="2000" b="1" i="0" u="none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0</xdr:row>
      <xdr:rowOff>28575</xdr:rowOff>
    </xdr:from>
    <xdr:to>
      <xdr:col>19</xdr:col>
      <xdr:colOff>142875</xdr:colOff>
      <xdr:row>1</xdr:row>
      <xdr:rowOff>0</xdr:rowOff>
    </xdr:to>
    <xdr:sp macro="" textlink="">
      <xdr:nvSpPr>
        <xdr:cNvPr id="2" name="ret_LimparFiltro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E15441-8267-45DB-B962-0AD6A65E154A}"/>
            </a:ext>
          </a:extLst>
        </xdr:cNvPr>
        <xdr:cNvSpPr/>
      </xdr:nvSpPr>
      <xdr:spPr>
        <a:xfrm>
          <a:off x="13611225" y="28575"/>
          <a:ext cx="2552700" cy="371475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 u="none">
              <a:latin typeface="Arial Black" panose="020B0A04020102020204" pitchFamily="34" charset="0"/>
            </a:rPr>
            <a:t>ÍNDICE</a:t>
          </a:r>
          <a:r>
            <a:rPr lang="pt-BR" sz="1800" b="1" i="0" u="none" baseline="0">
              <a:latin typeface="Arial Black" panose="020B0A04020102020204" pitchFamily="34" charset="0"/>
            </a:rPr>
            <a:t> </a:t>
          </a:r>
          <a:endParaRPr lang="pt-BR" sz="2000" b="1" i="0" u="none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604345</xdr:colOff>
      <xdr:row>0</xdr:row>
      <xdr:rowOff>13138</xdr:rowOff>
    </xdr:from>
    <xdr:to>
      <xdr:col>1</xdr:col>
      <xdr:colOff>801414</xdr:colOff>
      <xdr:row>0</xdr:row>
      <xdr:rowOff>183931</xdr:rowOff>
    </xdr:to>
    <xdr:sp macro="" textlink="">
      <xdr:nvSpPr>
        <xdr:cNvPr id="2" name="ret_LimparFiltro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6DF948-D5F6-4CF6-A17D-E23294F37B06}"/>
            </a:ext>
          </a:extLst>
        </xdr:cNvPr>
        <xdr:cNvSpPr/>
      </xdr:nvSpPr>
      <xdr:spPr>
        <a:xfrm>
          <a:off x="604345" y="13138"/>
          <a:ext cx="1175845" cy="170793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 u="none">
              <a:latin typeface="Arial Black" panose="020B0A04020102020204" pitchFamily="34" charset="0"/>
            </a:rPr>
            <a:t>ÍNDICE</a:t>
          </a:r>
          <a:r>
            <a:rPr lang="pt-BR" sz="1200" b="1" i="0" u="none" baseline="0">
              <a:latin typeface="Arial Black" panose="020B0A04020102020204" pitchFamily="34" charset="0"/>
            </a:rPr>
            <a:t> </a:t>
          </a:r>
          <a:endParaRPr lang="pt-BR" sz="1400" b="1" i="0" u="none">
            <a:latin typeface="Arial Black" panose="020B0A040201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User" refreshedDate="44249.824715740739" createdVersion="6" refreshedVersion="6" minRefreshableVersion="3" recordCount="514" xr:uid="{2AA6BE57-BE53-4865-9C05-22BBCE8B8B3C}">
  <cacheSource type="worksheet">
    <worksheetSource name="bd_Main"/>
  </cacheSource>
  <cacheFields count="15">
    <cacheField name="ID" numFmtId="0">
      <sharedItems containsSemiMixedTypes="0" containsString="0" containsNumber="1" containsInteger="1" minValue="1" maxValue="514"/>
    </cacheField>
    <cacheField name="Data" numFmtId="166">
      <sharedItems containsSemiMixedTypes="0" containsNonDate="0" containsDate="1" containsString="0" minDate="2020-01-01T00:00:00" maxDate="2022-06-29T00:00:00"/>
    </cacheField>
    <cacheField name="Injured part" numFmtId="0">
      <sharedItems count="22">
        <s v="Múltiplos"/>
        <s v="N/A"/>
        <s v="Cabeça"/>
        <s v="Pernas"/>
        <s v="Pescoço"/>
        <s v="Pés"/>
        <s v="Braços"/>
        <s v="Tronco"/>
        <s v="Abdomen"/>
        <s v="Hands" u="1"/>
        <s v="Costas" u="1"/>
        <s v="Arms" u="1"/>
        <s v="Feet" u="1"/>
        <s v="Mãos" u="1"/>
        <s v="Back" u="1"/>
        <s v="Trunk" u="1"/>
        <s v="Olhos" u="1"/>
        <s v="Neck" u="1"/>
        <s v="Eye" u="1"/>
        <s v="Multiple" u="1"/>
        <s v="Head" u="1"/>
        <s v="Legs" u="1"/>
      </sharedItems>
    </cacheField>
    <cacheField name="Gender" numFmtId="0">
      <sharedItems count="2">
        <s v="Masculino"/>
        <s v="Feminino"/>
      </sharedItems>
    </cacheField>
    <cacheField name="Age Group" numFmtId="0">
      <sharedItems count="4">
        <s v="25-34"/>
        <s v="35-49"/>
        <s v="18-24"/>
        <s v="50+"/>
      </sharedItems>
    </cacheField>
    <cacheField name="Incident Type" numFmtId="0">
      <sharedItems count="19">
        <s v="Queimadura"/>
        <s v="Veículo"/>
        <s v="Corte"/>
        <s v="Queda de Objeto"/>
        <s v="Peso"/>
        <s v="Esmagamento"/>
        <s v="Queda"/>
        <s v="Equipamento"/>
        <s v="Escorregamento"/>
        <s v="Cut" u="1"/>
        <s v="Equipment" u="1"/>
        <s v="Fall" u="1"/>
        <s v="Crush &amp; Pinch" u="1"/>
        <s v="Slip/trip" u="1"/>
        <s v="Levantamento" u="1"/>
        <s v="Burn" u="1"/>
        <s v="Falling object" u="1"/>
        <s v="Lifting" u="1"/>
        <s v="Vehicle" u="1"/>
      </sharedItems>
    </cacheField>
    <cacheField name="Dias Perdidos" numFmtId="0">
      <sharedItems containsSemiMixedTypes="0" containsString="0" containsNumber="1" minValue="0" maxValue="5"/>
    </cacheField>
    <cacheField name="Plant" numFmtId="0">
      <sharedItems count="9">
        <s v="Iowa"/>
        <s v="Alabama"/>
        <s v="Georgia"/>
        <s v="Ohio"/>
        <s v="California"/>
        <s v="Florida"/>
        <s v="Texas"/>
        <s v="Montana"/>
        <s v="Illinois"/>
      </sharedItems>
    </cacheField>
    <cacheField name="Report Type" numFmtId="0">
      <sharedItems count="8">
        <s v="Quase Acidente"/>
        <s v="Tempo perdido"/>
        <s v="Primeiros-socorros"/>
        <s v="Licença-médica"/>
        <s v="Near Miss" u="1"/>
        <s v="Medical Claim" u="1"/>
        <s v="First Aid" u="1"/>
        <s v="Lost Time" u="1"/>
      </sharedItems>
    </cacheField>
    <cacheField name="Shift" numFmtId="0">
      <sharedItems count="6">
        <s v="Vespertino"/>
        <s v="Tarde"/>
        <s v="Noturno"/>
        <s v="Day" u="1"/>
        <s v="Afternoon" u="1"/>
        <s v="Night" u="1"/>
      </sharedItems>
    </cacheField>
    <cacheField name="Department" numFmtId="0">
      <sharedItems count="9">
        <s v="Painting"/>
        <s v="Fabrication"/>
        <s v="Administration"/>
        <s v="Security"/>
        <s v="Purchasing"/>
        <s v="Maintenance"/>
        <s v="Shipping"/>
        <s v="Finishing"/>
        <s v="Melting"/>
      </sharedItems>
    </cacheField>
    <cacheField name="Incident Cost" numFmtId="0">
      <sharedItems containsSemiMixedTypes="0" containsString="0" containsNumber="1" containsInteger="1" minValue="0" maxValue="5000"/>
    </cacheField>
    <cacheField name="Dia" numFmtId="0">
      <sharedItems/>
    </cacheField>
    <cacheField name="Month" numFmtId="0">
      <sharedItems containsMixedTypes="1" containsNumber="1" containsInteger="1" minValue="1" maxValue="12" count="24">
        <s v="jan"/>
        <s v="fev"/>
        <s v="mar"/>
        <s v="abr"/>
        <s v="mai"/>
        <s v="jun"/>
        <s v="jul"/>
        <s v="ago"/>
        <s v="set"/>
        <s v="out"/>
        <s v="nov"/>
        <s v="dez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Year" numFmtId="0">
      <sharedItems count="3">
        <s v="2020"/>
        <s v="2021"/>
        <s v="2022"/>
      </sharedItems>
    </cacheField>
  </cacheFields>
  <extLst>
    <ext xmlns:x14="http://schemas.microsoft.com/office/spreadsheetml/2009/9/main" uri="{725AE2AE-9491-48be-B2B4-4EB974FC3084}">
      <x14:pivotCacheDefinition pivotCacheId="190315046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n v="1"/>
    <d v="2020-01-01T00:00:00"/>
    <x v="0"/>
    <x v="0"/>
    <x v="0"/>
    <x v="0"/>
    <n v="0"/>
    <x v="0"/>
    <x v="0"/>
    <x v="0"/>
    <x v="0"/>
    <n v="0"/>
    <s v="qua"/>
    <x v="0"/>
    <x v="0"/>
  </r>
  <r>
    <n v="2"/>
    <d v="2020-01-03T00:00:00"/>
    <x v="1"/>
    <x v="0"/>
    <x v="1"/>
    <x v="1"/>
    <n v="0.5"/>
    <x v="1"/>
    <x v="1"/>
    <x v="0"/>
    <x v="1"/>
    <n v="3367"/>
    <s v="sex"/>
    <x v="0"/>
    <x v="0"/>
  </r>
  <r>
    <n v="3"/>
    <d v="2020-01-03T00:00:00"/>
    <x v="2"/>
    <x v="0"/>
    <x v="2"/>
    <x v="2"/>
    <n v="0"/>
    <x v="2"/>
    <x v="0"/>
    <x v="0"/>
    <x v="2"/>
    <n v="0"/>
    <s v="sex"/>
    <x v="0"/>
    <x v="0"/>
  </r>
  <r>
    <n v="4"/>
    <d v="2020-01-04T00:00:00"/>
    <x v="3"/>
    <x v="1"/>
    <x v="3"/>
    <x v="3"/>
    <n v="0"/>
    <x v="0"/>
    <x v="0"/>
    <x v="0"/>
    <x v="0"/>
    <n v="0"/>
    <s v="sáb"/>
    <x v="0"/>
    <x v="0"/>
  </r>
  <r>
    <n v="5"/>
    <d v="2020-01-07T00:00:00"/>
    <x v="3"/>
    <x v="0"/>
    <x v="0"/>
    <x v="4"/>
    <n v="0"/>
    <x v="3"/>
    <x v="0"/>
    <x v="0"/>
    <x v="0"/>
    <n v="0"/>
    <s v="ter"/>
    <x v="0"/>
    <x v="0"/>
  </r>
  <r>
    <n v="6"/>
    <d v="2020-01-11T00:00:00"/>
    <x v="1"/>
    <x v="1"/>
    <x v="3"/>
    <x v="5"/>
    <n v="0"/>
    <x v="2"/>
    <x v="2"/>
    <x v="1"/>
    <x v="3"/>
    <n v="132"/>
    <s v="sáb"/>
    <x v="0"/>
    <x v="0"/>
  </r>
  <r>
    <n v="7"/>
    <d v="2020-01-11T00:00:00"/>
    <x v="4"/>
    <x v="0"/>
    <x v="0"/>
    <x v="5"/>
    <n v="3.5"/>
    <x v="0"/>
    <x v="1"/>
    <x v="0"/>
    <x v="4"/>
    <n v="4872"/>
    <s v="sáb"/>
    <x v="0"/>
    <x v="0"/>
  </r>
  <r>
    <n v="8"/>
    <d v="2020-01-12T00:00:00"/>
    <x v="5"/>
    <x v="0"/>
    <x v="1"/>
    <x v="0"/>
    <n v="1.5"/>
    <x v="4"/>
    <x v="1"/>
    <x v="2"/>
    <x v="2"/>
    <n v="1248"/>
    <s v="dom"/>
    <x v="0"/>
    <x v="0"/>
  </r>
  <r>
    <n v="9"/>
    <d v="2020-01-15T00:00:00"/>
    <x v="1"/>
    <x v="0"/>
    <x v="2"/>
    <x v="6"/>
    <n v="0"/>
    <x v="5"/>
    <x v="2"/>
    <x v="1"/>
    <x v="5"/>
    <n v="29"/>
    <s v="qua"/>
    <x v="0"/>
    <x v="0"/>
  </r>
  <r>
    <n v="10"/>
    <d v="2020-01-16T00:00:00"/>
    <x v="6"/>
    <x v="0"/>
    <x v="3"/>
    <x v="5"/>
    <n v="4.5"/>
    <x v="5"/>
    <x v="1"/>
    <x v="1"/>
    <x v="2"/>
    <n v="2525"/>
    <s v="qui"/>
    <x v="0"/>
    <x v="0"/>
  </r>
  <r>
    <n v="11"/>
    <d v="2020-01-18T00:00:00"/>
    <x v="1"/>
    <x v="1"/>
    <x v="1"/>
    <x v="3"/>
    <n v="0"/>
    <x v="0"/>
    <x v="2"/>
    <x v="2"/>
    <x v="6"/>
    <n v="59"/>
    <s v="sáb"/>
    <x v="0"/>
    <x v="0"/>
  </r>
  <r>
    <n v="12"/>
    <d v="2020-01-23T00:00:00"/>
    <x v="4"/>
    <x v="0"/>
    <x v="1"/>
    <x v="5"/>
    <n v="0"/>
    <x v="1"/>
    <x v="3"/>
    <x v="1"/>
    <x v="6"/>
    <n v="1947"/>
    <s v="qui"/>
    <x v="0"/>
    <x v="0"/>
  </r>
  <r>
    <n v="13"/>
    <d v="2020-01-26T00:00:00"/>
    <x v="2"/>
    <x v="0"/>
    <x v="1"/>
    <x v="1"/>
    <n v="0"/>
    <x v="5"/>
    <x v="3"/>
    <x v="0"/>
    <x v="7"/>
    <n v="2268"/>
    <s v="dom"/>
    <x v="0"/>
    <x v="0"/>
  </r>
  <r>
    <n v="14"/>
    <d v="2020-01-27T00:00:00"/>
    <x v="2"/>
    <x v="0"/>
    <x v="3"/>
    <x v="0"/>
    <n v="0"/>
    <x v="6"/>
    <x v="3"/>
    <x v="0"/>
    <x v="5"/>
    <n v="628"/>
    <s v="seg"/>
    <x v="0"/>
    <x v="0"/>
  </r>
  <r>
    <n v="15"/>
    <d v="2020-01-27T00:00:00"/>
    <x v="2"/>
    <x v="0"/>
    <x v="1"/>
    <x v="0"/>
    <n v="0"/>
    <x v="2"/>
    <x v="2"/>
    <x v="2"/>
    <x v="7"/>
    <n v="77"/>
    <s v="seg"/>
    <x v="0"/>
    <x v="0"/>
  </r>
  <r>
    <n v="16"/>
    <d v="2020-01-27T00:00:00"/>
    <x v="7"/>
    <x v="0"/>
    <x v="3"/>
    <x v="2"/>
    <n v="0"/>
    <x v="3"/>
    <x v="2"/>
    <x v="0"/>
    <x v="6"/>
    <n v="341"/>
    <s v="seg"/>
    <x v="0"/>
    <x v="0"/>
  </r>
  <r>
    <n v="17"/>
    <d v="2020-01-30T00:00:00"/>
    <x v="6"/>
    <x v="0"/>
    <x v="2"/>
    <x v="0"/>
    <n v="0"/>
    <x v="7"/>
    <x v="0"/>
    <x v="1"/>
    <x v="5"/>
    <n v="0"/>
    <s v="qui"/>
    <x v="0"/>
    <x v="0"/>
  </r>
  <r>
    <n v="18"/>
    <d v="2020-01-30T00:00:00"/>
    <x v="6"/>
    <x v="0"/>
    <x v="1"/>
    <x v="6"/>
    <n v="0"/>
    <x v="4"/>
    <x v="3"/>
    <x v="0"/>
    <x v="8"/>
    <n v="2007"/>
    <s v="qui"/>
    <x v="0"/>
    <x v="0"/>
  </r>
  <r>
    <n v="19"/>
    <d v="2020-02-01T00:00:00"/>
    <x v="0"/>
    <x v="0"/>
    <x v="3"/>
    <x v="5"/>
    <n v="0"/>
    <x v="8"/>
    <x v="2"/>
    <x v="2"/>
    <x v="0"/>
    <n v="338"/>
    <s v="sáb"/>
    <x v="1"/>
    <x v="0"/>
  </r>
  <r>
    <n v="20"/>
    <d v="2020-02-03T00:00:00"/>
    <x v="6"/>
    <x v="0"/>
    <x v="1"/>
    <x v="6"/>
    <n v="4"/>
    <x v="3"/>
    <x v="1"/>
    <x v="2"/>
    <x v="5"/>
    <n v="1196"/>
    <s v="seg"/>
    <x v="1"/>
    <x v="0"/>
  </r>
  <r>
    <n v="21"/>
    <d v="2020-02-04T00:00:00"/>
    <x v="2"/>
    <x v="0"/>
    <x v="2"/>
    <x v="4"/>
    <n v="0"/>
    <x v="7"/>
    <x v="0"/>
    <x v="2"/>
    <x v="6"/>
    <n v="0"/>
    <s v="ter"/>
    <x v="1"/>
    <x v="0"/>
  </r>
  <r>
    <n v="22"/>
    <d v="2020-02-09T00:00:00"/>
    <x v="5"/>
    <x v="0"/>
    <x v="1"/>
    <x v="5"/>
    <n v="0"/>
    <x v="7"/>
    <x v="2"/>
    <x v="1"/>
    <x v="8"/>
    <n v="180"/>
    <s v="dom"/>
    <x v="1"/>
    <x v="0"/>
  </r>
  <r>
    <n v="23"/>
    <d v="2020-02-09T00:00:00"/>
    <x v="2"/>
    <x v="0"/>
    <x v="0"/>
    <x v="7"/>
    <n v="4.5"/>
    <x v="5"/>
    <x v="1"/>
    <x v="1"/>
    <x v="6"/>
    <n v="3784"/>
    <s v="dom"/>
    <x v="1"/>
    <x v="0"/>
  </r>
  <r>
    <n v="24"/>
    <d v="2020-02-10T00:00:00"/>
    <x v="5"/>
    <x v="0"/>
    <x v="1"/>
    <x v="0"/>
    <n v="1.5"/>
    <x v="6"/>
    <x v="1"/>
    <x v="0"/>
    <x v="8"/>
    <n v="4414"/>
    <s v="seg"/>
    <x v="1"/>
    <x v="0"/>
  </r>
  <r>
    <n v="25"/>
    <d v="2020-02-10T00:00:00"/>
    <x v="2"/>
    <x v="0"/>
    <x v="1"/>
    <x v="8"/>
    <n v="2.5"/>
    <x v="3"/>
    <x v="1"/>
    <x v="1"/>
    <x v="3"/>
    <n v="2790"/>
    <s v="seg"/>
    <x v="1"/>
    <x v="0"/>
  </r>
  <r>
    <n v="26"/>
    <d v="2020-02-11T00:00:00"/>
    <x v="1"/>
    <x v="0"/>
    <x v="0"/>
    <x v="8"/>
    <n v="0"/>
    <x v="8"/>
    <x v="2"/>
    <x v="1"/>
    <x v="2"/>
    <n v="394"/>
    <s v="ter"/>
    <x v="1"/>
    <x v="0"/>
  </r>
  <r>
    <n v="27"/>
    <d v="2020-02-12T00:00:00"/>
    <x v="6"/>
    <x v="0"/>
    <x v="3"/>
    <x v="6"/>
    <n v="4"/>
    <x v="7"/>
    <x v="1"/>
    <x v="1"/>
    <x v="7"/>
    <n v="4743"/>
    <s v="qua"/>
    <x v="1"/>
    <x v="0"/>
  </r>
  <r>
    <n v="28"/>
    <d v="2020-02-13T00:00:00"/>
    <x v="1"/>
    <x v="0"/>
    <x v="3"/>
    <x v="0"/>
    <n v="4.5"/>
    <x v="8"/>
    <x v="1"/>
    <x v="2"/>
    <x v="7"/>
    <n v="3417"/>
    <s v="qui"/>
    <x v="1"/>
    <x v="0"/>
  </r>
  <r>
    <n v="29"/>
    <d v="2020-02-13T00:00:00"/>
    <x v="3"/>
    <x v="0"/>
    <x v="0"/>
    <x v="5"/>
    <n v="0"/>
    <x v="1"/>
    <x v="3"/>
    <x v="2"/>
    <x v="0"/>
    <n v="2337"/>
    <s v="qui"/>
    <x v="1"/>
    <x v="0"/>
  </r>
  <r>
    <n v="30"/>
    <d v="2020-02-14T00:00:00"/>
    <x v="8"/>
    <x v="0"/>
    <x v="0"/>
    <x v="7"/>
    <n v="0"/>
    <x v="2"/>
    <x v="0"/>
    <x v="2"/>
    <x v="6"/>
    <n v="0"/>
    <s v="sex"/>
    <x v="1"/>
    <x v="0"/>
  </r>
  <r>
    <n v="31"/>
    <d v="2020-02-16T00:00:00"/>
    <x v="8"/>
    <x v="0"/>
    <x v="3"/>
    <x v="8"/>
    <n v="0"/>
    <x v="4"/>
    <x v="2"/>
    <x v="0"/>
    <x v="1"/>
    <n v="207"/>
    <s v="dom"/>
    <x v="1"/>
    <x v="0"/>
  </r>
  <r>
    <n v="32"/>
    <d v="2020-02-17T00:00:00"/>
    <x v="0"/>
    <x v="1"/>
    <x v="1"/>
    <x v="6"/>
    <n v="2"/>
    <x v="3"/>
    <x v="1"/>
    <x v="2"/>
    <x v="5"/>
    <n v="2544"/>
    <s v="seg"/>
    <x v="1"/>
    <x v="0"/>
  </r>
  <r>
    <n v="33"/>
    <d v="2020-02-19T00:00:00"/>
    <x v="0"/>
    <x v="1"/>
    <x v="1"/>
    <x v="7"/>
    <n v="0"/>
    <x v="7"/>
    <x v="3"/>
    <x v="0"/>
    <x v="2"/>
    <n v="3411"/>
    <s v="qua"/>
    <x v="1"/>
    <x v="0"/>
  </r>
  <r>
    <n v="34"/>
    <d v="2020-02-20T00:00:00"/>
    <x v="7"/>
    <x v="0"/>
    <x v="0"/>
    <x v="8"/>
    <n v="0"/>
    <x v="4"/>
    <x v="0"/>
    <x v="1"/>
    <x v="1"/>
    <n v="0"/>
    <s v="qui"/>
    <x v="1"/>
    <x v="0"/>
  </r>
  <r>
    <n v="35"/>
    <d v="2020-02-22T00:00:00"/>
    <x v="1"/>
    <x v="0"/>
    <x v="0"/>
    <x v="7"/>
    <n v="0"/>
    <x v="2"/>
    <x v="3"/>
    <x v="1"/>
    <x v="1"/>
    <n v="4800"/>
    <s v="sáb"/>
    <x v="1"/>
    <x v="0"/>
  </r>
  <r>
    <n v="36"/>
    <d v="2020-02-27T00:00:00"/>
    <x v="4"/>
    <x v="0"/>
    <x v="3"/>
    <x v="7"/>
    <n v="0"/>
    <x v="6"/>
    <x v="3"/>
    <x v="2"/>
    <x v="5"/>
    <n v="3339"/>
    <s v="qui"/>
    <x v="1"/>
    <x v="0"/>
  </r>
  <r>
    <n v="37"/>
    <d v="2020-02-28T00:00:00"/>
    <x v="7"/>
    <x v="0"/>
    <x v="3"/>
    <x v="4"/>
    <n v="5"/>
    <x v="7"/>
    <x v="1"/>
    <x v="2"/>
    <x v="1"/>
    <n v="4969"/>
    <s v="sex"/>
    <x v="1"/>
    <x v="0"/>
  </r>
  <r>
    <n v="38"/>
    <d v="2020-03-01T00:00:00"/>
    <x v="7"/>
    <x v="0"/>
    <x v="2"/>
    <x v="6"/>
    <n v="0"/>
    <x v="7"/>
    <x v="2"/>
    <x v="1"/>
    <x v="6"/>
    <n v="360"/>
    <s v="dom"/>
    <x v="2"/>
    <x v="0"/>
  </r>
  <r>
    <n v="39"/>
    <d v="2020-03-03T00:00:00"/>
    <x v="2"/>
    <x v="0"/>
    <x v="1"/>
    <x v="0"/>
    <n v="0"/>
    <x v="0"/>
    <x v="0"/>
    <x v="1"/>
    <x v="6"/>
    <n v="0"/>
    <s v="ter"/>
    <x v="2"/>
    <x v="0"/>
  </r>
  <r>
    <n v="40"/>
    <d v="2020-03-03T00:00:00"/>
    <x v="1"/>
    <x v="0"/>
    <x v="3"/>
    <x v="5"/>
    <n v="2.5"/>
    <x v="5"/>
    <x v="1"/>
    <x v="0"/>
    <x v="5"/>
    <n v="4718"/>
    <s v="ter"/>
    <x v="2"/>
    <x v="0"/>
  </r>
  <r>
    <n v="41"/>
    <d v="2020-03-06T00:00:00"/>
    <x v="2"/>
    <x v="0"/>
    <x v="0"/>
    <x v="0"/>
    <n v="0"/>
    <x v="3"/>
    <x v="0"/>
    <x v="2"/>
    <x v="6"/>
    <n v="0"/>
    <s v="sex"/>
    <x v="2"/>
    <x v="0"/>
  </r>
  <r>
    <n v="42"/>
    <d v="2020-03-06T00:00:00"/>
    <x v="2"/>
    <x v="0"/>
    <x v="2"/>
    <x v="2"/>
    <n v="0"/>
    <x v="7"/>
    <x v="2"/>
    <x v="0"/>
    <x v="6"/>
    <n v="456"/>
    <s v="sex"/>
    <x v="2"/>
    <x v="0"/>
  </r>
  <r>
    <n v="43"/>
    <d v="2020-03-07T00:00:00"/>
    <x v="5"/>
    <x v="0"/>
    <x v="2"/>
    <x v="6"/>
    <n v="0"/>
    <x v="1"/>
    <x v="2"/>
    <x v="2"/>
    <x v="2"/>
    <n v="307"/>
    <s v="sáb"/>
    <x v="2"/>
    <x v="0"/>
  </r>
  <r>
    <n v="44"/>
    <d v="2020-03-11T00:00:00"/>
    <x v="6"/>
    <x v="0"/>
    <x v="1"/>
    <x v="2"/>
    <n v="0"/>
    <x v="3"/>
    <x v="0"/>
    <x v="0"/>
    <x v="5"/>
    <n v="0"/>
    <s v="qua"/>
    <x v="2"/>
    <x v="0"/>
  </r>
  <r>
    <n v="45"/>
    <d v="2020-03-12T00:00:00"/>
    <x v="4"/>
    <x v="1"/>
    <x v="2"/>
    <x v="6"/>
    <n v="0"/>
    <x v="5"/>
    <x v="3"/>
    <x v="0"/>
    <x v="2"/>
    <n v="4933"/>
    <s v="qui"/>
    <x v="2"/>
    <x v="0"/>
  </r>
  <r>
    <n v="46"/>
    <d v="2020-03-17T00:00:00"/>
    <x v="8"/>
    <x v="0"/>
    <x v="0"/>
    <x v="8"/>
    <n v="4.5"/>
    <x v="0"/>
    <x v="1"/>
    <x v="0"/>
    <x v="1"/>
    <n v="3146"/>
    <s v="ter"/>
    <x v="2"/>
    <x v="0"/>
  </r>
  <r>
    <n v="47"/>
    <d v="2020-03-20T00:00:00"/>
    <x v="2"/>
    <x v="0"/>
    <x v="1"/>
    <x v="4"/>
    <n v="0"/>
    <x v="7"/>
    <x v="0"/>
    <x v="0"/>
    <x v="3"/>
    <n v="0"/>
    <s v="sex"/>
    <x v="2"/>
    <x v="0"/>
  </r>
  <r>
    <n v="48"/>
    <d v="2020-03-21T00:00:00"/>
    <x v="7"/>
    <x v="0"/>
    <x v="1"/>
    <x v="3"/>
    <n v="0"/>
    <x v="3"/>
    <x v="3"/>
    <x v="2"/>
    <x v="8"/>
    <n v="3084"/>
    <s v="sáb"/>
    <x v="2"/>
    <x v="0"/>
  </r>
  <r>
    <n v="49"/>
    <d v="2020-03-23T00:00:00"/>
    <x v="0"/>
    <x v="0"/>
    <x v="1"/>
    <x v="3"/>
    <n v="0"/>
    <x v="5"/>
    <x v="0"/>
    <x v="1"/>
    <x v="7"/>
    <n v="0"/>
    <s v="seg"/>
    <x v="2"/>
    <x v="0"/>
  </r>
  <r>
    <n v="50"/>
    <d v="2020-04-03T00:00:00"/>
    <x v="3"/>
    <x v="0"/>
    <x v="2"/>
    <x v="0"/>
    <n v="0"/>
    <x v="4"/>
    <x v="2"/>
    <x v="2"/>
    <x v="0"/>
    <n v="260"/>
    <s v="sex"/>
    <x v="3"/>
    <x v="0"/>
  </r>
  <r>
    <n v="51"/>
    <d v="2020-04-04T00:00:00"/>
    <x v="7"/>
    <x v="0"/>
    <x v="0"/>
    <x v="7"/>
    <n v="0"/>
    <x v="8"/>
    <x v="2"/>
    <x v="1"/>
    <x v="8"/>
    <n v="40"/>
    <s v="sáb"/>
    <x v="3"/>
    <x v="0"/>
  </r>
  <r>
    <n v="52"/>
    <d v="2020-04-04T00:00:00"/>
    <x v="7"/>
    <x v="0"/>
    <x v="0"/>
    <x v="1"/>
    <n v="0"/>
    <x v="7"/>
    <x v="3"/>
    <x v="0"/>
    <x v="7"/>
    <n v="2615"/>
    <s v="sáb"/>
    <x v="3"/>
    <x v="0"/>
  </r>
  <r>
    <n v="53"/>
    <d v="2020-04-04T00:00:00"/>
    <x v="6"/>
    <x v="0"/>
    <x v="1"/>
    <x v="3"/>
    <n v="4.5"/>
    <x v="7"/>
    <x v="1"/>
    <x v="0"/>
    <x v="2"/>
    <n v="450"/>
    <s v="sáb"/>
    <x v="3"/>
    <x v="0"/>
  </r>
  <r>
    <n v="54"/>
    <d v="2020-04-06T00:00:00"/>
    <x v="1"/>
    <x v="0"/>
    <x v="2"/>
    <x v="8"/>
    <n v="0"/>
    <x v="8"/>
    <x v="3"/>
    <x v="2"/>
    <x v="7"/>
    <n v="4462"/>
    <s v="seg"/>
    <x v="3"/>
    <x v="0"/>
  </r>
  <r>
    <n v="55"/>
    <d v="2020-04-07T00:00:00"/>
    <x v="3"/>
    <x v="0"/>
    <x v="0"/>
    <x v="4"/>
    <n v="0"/>
    <x v="3"/>
    <x v="2"/>
    <x v="2"/>
    <x v="4"/>
    <n v="76"/>
    <s v="ter"/>
    <x v="3"/>
    <x v="0"/>
  </r>
  <r>
    <n v="56"/>
    <d v="2020-04-12T00:00:00"/>
    <x v="1"/>
    <x v="0"/>
    <x v="0"/>
    <x v="6"/>
    <n v="0"/>
    <x v="3"/>
    <x v="2"/>
    <x v="2"/>
    <x v="5"/>
    <n v="297"/>
    <s v="dom"/>
    <x v="3"/>
    <x v="0"/>
  </r>
  <r>
    <n v="57"/>
    <d v="2020-04-13T00:00:00"/>
    <x v="2"/>
    <x v="1"/>
    <x v="3"/>
    <x v="1"/>
    <n v="4.5"/>
    <x v="1"/>
    <x v="1"/>
    <x v="2"/>
    <x v="1"/>
    <n v="1152"/>
    <s v="seg"/>
    <x v="3"/>
    <x v="0"/>
  </r>
  <r>
    <n v="58"/>
    <d v="2020-04-13T00:00:00"/>
    <x v="3"/>
    <x v="0"/>
    <x v="2"/>
    <x v="8"/>
    <n v="0"/>
    <x v="8"/>
    <x v="0"/>
    <x v="0"/>
    <x v="7"/>
    <n v="0"/>
    <s v="seg"/>
    <x v="3"/>
    <x v="0"/>
  </r>
  <r>
    <n v="59"/>
    <d v="2020-04-14T00:00:00"/>
    <x v="7"/>
    <x v="0"/>
    <x v="3"/>
    <x v="0"/>
    <n v="0"/>
    <x v="6"/>
    <x v="2"/>
    <x v="2"/>
    <x v="4"/>
    <n v="173"/>
    <s v="ter"/>
    <x v="3"/>
    <x v="0"/>
  </r>
  <r>
    <n v="60"/>
    <d v="2020-04-14T00:00:00"/>
    <x v="6"/>
    <x v="0"/>
    <x v="3"/>
    <x v="6"/>
    <n v="0"/>
    <x v="7"/>
    <x v="0"/>
    <x v="2"/>
    <x v="7"/>
    <n v="0"/>
    <s v="ter"/>
    <x v="3"/>
    <x v="0"/>
  </r>
  <r>
    <n v="61"/>
    <d v="2020-04-15T00:00:00"/>
    <x v="7"/>
    <x v="0"/>
    <x v="1"/>
    <x v="3"/>
    <n v="1.5"/>
    <x v="8"/>
    <x v="1"/>
    <x v="1"/>
    <x v="6"/>
    <n v="4731"/>
    <s v="qua"/>
    <x v="3"/>
    <x v="0"/>
  </r>
  <r>
    <n v="62"/>
    <d v="2020-04-16T00:00:00"/>
    <x v="2"/>
    <x v="0"/>
    <x v="3"/>
    <x v="0"/>
    <n v="0"/>
    <x v="0"/>
    <x v="2"/>
    <x v="1"/>
    <x v="0"/>
    <n v="155"/>
    <s v="qui"/>
    <x v="3"/>
    <x v="0"/>
  </r>
  <r>
    <n v="63"/>
    <d v="2020-04-17T00:00:00"/>
    <x v="8"/>
    <x v="0"/>
    <x v="0"/>
    <x v="5"/>
    <n v="3"/>
    <x v="2"/>
    <x v="1"/>
    <x v="2"/>
    <x v="2"/>
    <n v="3425"/>
    <s v="sex"/>
    <x v="3"/>
    <x v="0"/>
  </r>
  <r>
    <n v="64"/>
    <d v="2020-04-18T00:00:00"/>
    <x v="4"/>
    <x v="0"/>
    <x v="0"/>
    <x v="0"/>
    <n v="0"/>
    <x v="1"/>
    <x v="0"/>
    <x v="2"/>
    <x v="2"/>
    <n v="0"/>
    <s v="sáb"/>
    <x v="3"/>
    <x v="0"/>
  </r>
  <r>
    <n v="65"/>
    <d v="2020-04-21T00:00:00"/>
    <x v="6"/>
    <x v="0"/>
    <x v="2"/>
    <x v="2"/>
    <n v="3"/>
    <x v="4"/>
    <x v="1"/>
    <x v="2"/>
    <x v="1"/>
    <n v="2627"/>
    <s v="ter"/>
    <x v="3"/>
    <x v="0"/>
  </r>
  <r>
    <n v="66"/>
    <d v="2020-04-21T00:00:00"/>
    <x v="2"/>
    <x v="1"/>
    <x v="2"/>
    <x v="1"/>
    <n v="4"/>
    <x v="6"/>
    <x v="1"/>
    <x v="1"/>
    <x v="6"/>
    <n v="3680"/>
    <s v="ter"/>
    <x v="3"/>
    <x v="0"/>
  </r>
  <r>
    <n v="67"/>
    <d v="2020-04-22T00:00:00"/>
    <x v="3"/>
    <x v="0"/>
    <x v="1"/>
    <x v="1"/>
    <n v="0"/>
    <x v="0"/>
    <x v="2"/>
    <x v="0"/>
    <x v="2"/>
    <n v="281"/>
    <s v="qua"/>
    <x v="3"/>
    <x v="0"/>
  </r>
  <r>
    <n v="68"/>
    <d v="2020-04-22T00:00:00"/>
    <x v="3"/>
    <x v="0"/>
    <x v="2"/>
    <x v="7"/>
    <n v="0"/>
    <x v="0"/>
    <x v="0"/>
    <x v="1"/>
    <x v="3"/>
    <n v="0"/>
    <s v="qua"/>
    <x v="3"/>
    <x v="0"/>
  </r>
  <r>
    <n v="69"/>
    <d v="2020-04-24T00:00:00"/>
    <x v="7"/>
    <x v="0"/>
    <x v="2"/>
    <x v="4"/>
    <n v="1"/>
    <x v="7"/>
    <x v="1"/>
    <x v="0"/>
    <x v="5"/>
    <n v="3954"/>
    <s v="sex"/>
    <x v="3"/>
    <x v="0"/>
  </r>
  <r>
    <n v="70"/>
    <d v="2020-04-25T00:00:00"/>
    <x v="2"/>
    <x v="1"/>
    <x v="3"/>
    <x v="7"/>
    <n v="0"/>
    <x v="7"/>
    <x v="0"/>
    <x v="0"/>
    <x v="4"/>
    <n v="0"/>
    <s v="sáb"/>
    <x v="3"/>
    <x v="0"/>
  </r>
  <r>
    <n v="71"/>
    <d v="2020-04-27T00:00:00"/>
    <x v="7"/>
    <x v="1"/>
    <x v="2"/>
    <x v="8"/>
    <n v="0"/>
    <x v="4"/>
    <x v="0"/>
    <x v="0"/>
    <x v="4"/>
    <n v="0"/>
    <s v="seg"/>
    <x v="3"/>
    <x v="0"/>
  </r>
  <r>
    <n v="72"/>
    <d v="2020-05-02T00:00:00"/>
    <x v="3"/>
    <x v="0"/>
    <x v="0"/>
    <x v="4"/>
    <n v="0"/>
    <x v="8"/>
    <x v="3"/>
    <x v="0"/>
    <x v="5"/>
    <n v="2461"/>
    <s v="sáb"/>
    <x v="4"/>
    <x v="0"/>
  </r>
  <r>
    <n v="73"/>
    <d v="2020-05-04T00:00:00"/>
    <x v="2"/>
    <x v="0"/>
    <x v="0"/>
    <x v="2"/>
    <n v="0"/>
    <x v="8"/>
    <x v="3"/>
    <x v="0"/>
    <x v="2"/>
    <n v="3851"/>
    <s v="seg"/>
    <x v="4"/>
    <x v="0"/>
  </r>
  <r>
    <n v="74"/>
    <d v="2020-05-05T00:00:00"/>
    <x v="5"/>
    <x v="0"/>
    <x v="3"/>
    <x v="0"/>
    <n v="0"/>
    <x v="5"/>
    <x v="2"/>
    <x v="2"/>
    <x v="7"/>
    <n v="224"/>
    <s v="ter"/>
    <x v="4"/>
    <x v="0"/>
  </r>
  <r>
    <n v="75"/>
    <d v="2020-05-07T00:00:00"/>
    <x v="4"/>
    <x v="0"/>
    <x v="2"/>
    <x v="4"/>
    <n v="4"/>
    <x v="5"/>
    <x v="1"/>
    <x v="2"/>
    <x v="7"/>
    <n v="3969"/>
    <s v="qui"/>
    <x v="4"/>
    <x v="0"/>
  </r>
  <r>
    <n v="76"/>
    <d v="2020-05-08T00:00:00"/>
    <x v="6"/>
    <x v="0"/>
    <x v="2"/>
    <x v="0"/>
    <n v="0"/>
    <x v="1"/>
    <x v="2"/>
    <x v="2"/>
    <x v="2"/>
    <n v="434"/>
    <s v="sex"/>
    <x v="4"/>
    <x v="0"/>
  </r>
  <r>
    <n v="77"/>
    <d v="2020-05-08T00:00:00"/>
    <x v="4"/>
    <x v="0"/>
    <x v="3"/>
    <x v="5"/>
    <n v="1"/>
    <x v="3"/>
    <x v="1"/>
    <x v="2"/>
    <x v="8"/>
    <n v="1173"/>
    <s v="sex"/>
    <x v="4"/>
    <x v="0"/>
  </r>
  <r>
    <n v="78"/>
    <d v="2020-05-09T00:00:00"/>
    <x v="2"/>
    <x v="0"/>
    <x v="1"/>
    <x v="6"/>
    <n v="0"/>
    <x v="1"/>
    <x v="2"/>
    <x v="1"/>
    <x v="5"/>
    <n v="236"/>
    <s v="sáb"/>
    <x v="4"/>
    <x v="0"/>
  </r>
  <r>
    <n v="79"/>
    <d v="2020-05-10T00:00:00"/>
    <x v="7"/>
    <x v="0"/>
    <x v="1"/>
    <x v="4"/>
    <n v="0"/>
    <x v="0"/>
    <x v="0"/>
    <x v="0"/>
    <x v="2"/>
    <n v="0"/>
    <s v="dom"/>
    <x v="4"/>
    <x v="0"/>
  </r>
  <r>
    <n v="80"/>
    <d v="2020-05-10T00:00:00"/>
    <x v="5"/>
    <x v="0"/>
    <x v="1"/>
    <x v="5"/>
    <n v="1.5"/>
    <x v="7"/>
    <x v="1"/>
    <x v="2"/>
    <x v="5"/>
    <n v="1592"/>
    <s v="dom"/>
    <x v="4"/>
    <x v="0"/>
  </r>
  <r>
    <n v="81"/>
    <d v="2020-05-11T00:00:00"/>
    <x v="8"/>
    <x v="0"/>
    <x v="3"/>
    <x v="8"/>
    <n v="0"/>
    <x v="2"/>
    <x v="0"/>
    <x v="2"/>
    <x v="6"/>
    <n v="0"/>
    <s v="seg"/>
    <x v="4"/>
    <x v="0"/>
  </r>
  <r>
    <n v="82"/>
    <d v="2020-05-13T00:00:00"/>
    <x v="5"/>
    <x v="0"/>
    <x v="3"/>
    <x v="6"/>
    <n v="0"/>
    <x v="7"/>
    <x v="0"/>
    <x v="1"/>
    <x v="8"/>
    <n v="0"/>
    <s v="qua"/>
    <x v="4"/>
    <x v="0"/>
  </r>
  <r>
    <n v="83"/>
    <d v="2020-05-13T00:00:00"/>
    <x v="4"/>
    <x v="0"/>
    <x v="1"/>
    <x v="2"/>
    <n v="0"/>
    <x v="8"/>
    <x v="2"/>
    <x v="2"/>
    <x v="5"/>
    <n v="457"/>
    <s v="qua"/>
    <x v="4"/>
    <x v="0"/>
  </r>
  <r>
    <n v="84"/>
    <d v="2020-05-17T00:00:00"/>
    <x v="1"/>
    <x v="0"/>
    <x v="1"/>
    <x v="2"/>
    <n v="0"/>
    <x v="3"/>
    <x v="0"/>
    <x v="0"/>
    <x v="3"/>
    <n v="0"/>
    <s v="dom"/>
    <x v="4"/>
    <x v="0"/>
  </r>
  <r>
    <n v="85"/>
    <d v="2020-05-17T00:00:00"/>
    <x v="2"/>
    <x v="0"/>
    <x v="2"/>
    <x v="6"/>
    <n v="0"/>
    <x v="3"/>
    <x v="2"/>
    <x v="1"/>
    <x v="3"/>
    <n v="247"/>
    <s v="dom"/>
    <x v="4"/>
    <x v="0"/>
  </r>
  <r>
    <n v="86"/>
    <d v="2020-05-19T00:00:00"/>
    <x v="6"/>
    <x v="0"/>
    <x v="0"/>
    <x v="5"/>
    <n v="0"/>
    <x v="2"/>
    <x v="2"/>
    <x v="2"/>
    <x v="2"/>
    <n v="457"/>
    <s v="ter"/>
    <x v="4"/>
    <x v="0"/>
  </r>
  <r>
    <n v="87"/>
    <d v="2020-05-21T00:00:00"/>
    <x v="7"/>
    <x v="0"/>
    <x v="1"/>
    <x v="3"/>
    <n v="0"/>
    <x v="8"/>
    <x v="0"/>
    <x v="1"/>
    <x v="3"/>
    <n v="0"/>
    <s v="qui"/>
    <x v="4"/>
    <x v="0"/>
  </r>
  <r>
    <n v="88"/>
    <d v="2020-05-22T00:00:00"/>
    <x v="7"/>
    <x v="0"/>
    <x v="1"/>
    <x v="3"/>
    <n v="0"/>
    <x v="3"/>
    <x v="2"/>
    <x v="0"/>
    <x v="8"/>
    <n v="305"/>
    <s v="sex"/>
    <x v="4"/>
    <x v="0"/>
  </r>
  <r>
    <n v="89"/>
    <d v="2020-05-23T00:00:00"/>
    <x v="4"/>
    <x v="0"/>
    <x v="3"/>
    <x v="4"/>
    <n v="0"/>
    <x v="7"/>
    <x v="0"/>
    <x v="1"/>
    <x v="2"/>
    <n v="0"/>
    <s v="sáb"/>
    <x v="4"/>
    <x v="0"/>
  </r>
  <r>
    <n v="90"/>
    <d v="2020-05-25T00:00:00"/>
    <x v="2"/>
    <x v="0"/>
    <x v="0"/>
    <x v="5"/>
    <n v="0.5"/>
    <x v="5"/>
    <x v="1"/>
    <x v="1"/>
    <x v="4"/>
    <n v="2468"/>
    <s v="seg"/>
    <x v="4"/>
    <x v="0"/>
  </r>
  <r>
    <n v="91"/>
    <d v="2020-05-26T00:00:00"/>
    <x v="6"/>
    <x v="0"/>
    <x v="1"/>
    <x v="0"/>
    <n v="0.5"/>
    <x v="4"/>
    <x v="1"/>
    <x v="1"/>
    <x v="7"/>
    <n v="786"/>
    <s v="ter"/>
    <x v="4"/>
    <x v="0"/>
  </r>
  <r>
    <n v="92"/>
    <d v="2020-05-26T00:00:00"/>
    <x v="2"/>
    <x v="0"/>
    <x v="2"/>
    <x v="4"/>
    <n v="0"/>
    <x v="1"/>
    <x v="3"/>
    <x v="0"/>
    <x v="2"/>
    <n v="2481"/>
    <s v="ter"/>
    <x v="4"/>
    <x v="0"/>
  </r>
  <r>
    <n v="93"/>
    <d v="2020-05-29T00:00:00"/>
    <x v="6"/>
    <x v="0"/>
    <x v="0"/>
    <x v="0"/>
    <n v="0.5"/>
    <x v="4"/>
    <x v="1"/>
    <x v="0"/>
    <x v="6"/>
    <n v="674"/>
    <s v="sex"/>
    <x v="4"/>
    <x v="0"/>
  </r>
  <r>
    <n v="94"/>
    <d v="2020-05-31T00:00:00"/>
    <x v="2"/>
    <x v="0"/>
    <x v="3"/>
    <x v="5"/>
    <n v="0"/>
    <x v="1"/>
    <x v="0"/>
    <x v="2"/>
    <x v="4"/>
    <n v="0"/>
    <s v="dom"/>
    <x v="4"/>
    <x v="0"/>
  </r>
  <r>
    <n v="95"/>
    <d v="2020-05-31T00:00:00"/>
    <x v="3"/>
    <x v="0"/>
    <x v="1"/>
    <x v="4"/>
    <n v="0"/>
    <x v="1"/>
    <x v="0"/>
    <x v="1"/>
    <x v="6"/>
    <n v="0"/>
    <s v="dom"/>
    <x v="4"/>
    <x v="0"/>
  </r>
  <r>
    <n v="96"/>
    <d v="2020-06-02T00:00:00"/>
    <x v="5"/>
    <x v="0"/>
    <x v="3"/>
    <x v="8"/>
    <n v="0"/>
    <x v="2"/>
    <x v="0"/>
    <x v="1"/>
    <x v="6"/>
    <n v="0"/>
    <s v="ter"/>
    <x v="5"/>
    <x v="0"/>
  </r>
  <r>
    <n v="97"/>
    <d v="2020-06-07T00:00:00"/>
    <x v="3"/>
    <x v="0"/>
    <x v="0"/>
    <x v="7"/>
    <n v="0"/>
    <x v="2"/>
    <x v="0"/>
    <x v="2"/>
    <x v="6"/>
    <n v="0"/>
    <s v="dom"/>
    <x v="5"/>
    <x v="0"/>
  </r>
  <r>
    <n v="98"/>
    <d v="2020-06-10T00:00:00"/>
    <x v="7"/>
    <x v="0"/>
    <x v="2"/>
    <x v="7"/>
    <n v="2.5"/>
    <x v="3"/>
    <x v="1"/>
    <x v="2"/>
    <x v="6"/>
    <n v="2370"/>
    <s v="qua"/>
    <x v="5"/>
    <x v="0"/>
  </r>
  <r>
    <n v="99"/>
    <d v="2020-06-11T00:00:00"/>
    <x v="6"/>
    <x v="0"/>
    <x v="1"/>
    <x v="3"/>
    <n v="0"/>
    <x v="4"/>
    <x v="3"/>
    <x v="2"/>
    <x v="4"/>
    <n v="1121"/>
    <s v="qui"/>
    <x v="5"/>
    <x v="0"/>
  </r>
  <r>
    <n v="100"/>
    <d v="2020-06-12T00:00:00"/>
    <x v="2"/>
    <x v="0"/>
    <x v="2"/>
    <x v="8"/>
    <n v="0"/>
    <x v="4"/>
    <x v="3"/>
    <x v="0"/>
    <x v="5"/>
    <n v="3269"/>
    <s v="sex"/>
    <x v="5"/>
    <x v="0"/>
  </r>
  <r>
    <n v="101"/>
    <d v="2020-06-15T00:00:00"/>
    <x v="3"/>
    <x v="0"/>
    <x v="2"/>
    <x v="4"/>
    <n v="0"/>
    <x v="8"/>
    <x v="2"/>
    <x v="0"/>
    <x v="0"/>
    <n v="249"/>
    <s v="seg"/>
    <x v="5"/>
    <x v="0"/>
  </r>
  <r>
    <n v="102"/>
    <d v="2020-06-15T00:00:00"/>
    <x v="0"/>
    <x v="0"/>
    <x v="2"/>
    <x v="0"/>
    <n v="0"/>
    <x v="8"/>
    <x v="2"/>
    <x v="2"/>
    <x v="6"/>
    <n v="423"/>
    <s v="seg"/>
    <x v="5"/>
    <x v="0"/>
  </r>
  <r>
    <n v="103"/>
    <d v="2020-06-16T00:00:00"/>
    <x v="5"/>
    <x v="0"/>
    <x v="2"/>
    <x v="3"/>
    <n v="0"/>
    <x v="2"/>
    <x v="3"/>
    <x v="0"/>
    <x v="5"/>
    <n v="3397"/>
    <s v="ter"/>
    <x v="5"/>
    <x v="0"/>
  </r>
  <r>
    <n v="104"/>
    <d v="2020-06-19T00:00:00"/>
    <x v="2"/>
    <x v="1"/>
    <x v="0"/>
    <x v="3"/>
    <n v="0"/>
    <x v="4"/>
    <x v="3"/>
    <x v="0"/>
    <x v="1"/>
    <n v="4016"/>
    <s v="sex"/>
    <x v="5"/>
    <x v="0"/>
  </r>
  <r>
    <n v="105"/>
    <d v="2020-06-23T00:00:00"/>
    <x v="6"/>
    <x v="0"/>
    <x v="0"/>
    <x v="8"/>
    <n v="0"/>
    <x v="7"/>
    <x v="3"/>
    <x v="1"/>
    <x v="5"/>
    <n v="2387"/>
    <s v="ter"/>
    <x v="5"/>
    <x v="0"/>
  </r>
  <r>
    <n v="106"/>
    <d v="2020-06-26T00:00:00"/>
    <x v="3"/>
    <x v="0"/>
    <x v="3"/>
    <x v="5"/>
    <n v="0"/>
    <x v="0"/>
    <x v="0"/>
    <x v="1"/>
    <x v="2"/>
    <n v="0"/>
    <s v="sex"/>
    <x v="5"/>
    <x v="0"/>
  </r>
  <r>
    <n v="107"/>
    <d v="2020-06-27T00:00:00"/>
    <x v="7"/>
    <x v="0"/>
    <x v="1"/>
    <x v="8"/>
    <n v="0"/>
    <x v="7"/>
    <x v="3"/>
    <x v="1"/>
    <x v="6"/>
    <n v="4292"/>
    <s v="sáb"/>
    <x v="5"/>
    <x v="0"/>
  </r>
  <r>
    <n v="108"/>
    <d v="2020-06-28T00:00:00"/>
    <x v="5"/>
    <x v="1"/>
    <x v="0"/>
    <x v="7"/>
    <n v="2"/>
    <x v="1"/>
    <x v="1"/>
    <x v="0"/>
    <x v="8"/>
    <n v="1635"/>
    <s v="dom"/>
    <x v="5"/>
    <x v="0"/>
  </r>
  <r>
    <n v="109"/>
    <d v="2020-06-30T00:00:00"/>
    <x v="7"/>
    <x v="0"/>
    <x v="2"/>
    <x v="5"/>
    <n v="0"/>
    <x v="5"/>
    <x v="0"/>
    <x v="2"/>
    <x v="3"/>
    <n v="0"/>
    <s v="ter"/>
    <x v="5"/>
    <x v="0"/>
  </r>
  <r>
    <n v="110"/>
    <d v="2020-06-30T00:00:00"/>
    <x v="4"/>
    <x v="0"/>
    <x v="2"/>
    <x v="8"/>
    <n v="5"/>
    <x v="1"/>
    <x v="1"/>
    <x v="0"/>
    <x v="3"/>
    <n v="603"/>
    <s v="ter"/>
    <x v="5"/>
    <x v="0"/>
  </r>
  <r>
    <n v="111"/>
    <d v="2020-07-01T00:00:00"/>
    <x v="4"/>
    <x v="0"/>
    <x v="3"/>
    <x v="4"/>
    <n v="0"/>
    <x v="1"/>
    <x v="3"/>
    <x v="1"/>
    <x v="7"/>
    <n v="1335"/>
    <s v="qua"/>
    <x v="6"/>
    <x v="0"/>
  </r>
  <r>
    <n v="112"/>
    <d v="2020-07-06T00:00:00"/>
    <x v="1"/>
    <x v="1"/>
    <x v="3"/>
    <x v="7"/>
    <n v="0"/>
    <x v="3"/>
    <x v="2"/>
    <x v="0"/>
    <x v="8"/>
    <n v="250"/>
    <s v="seg"/>
    <x v="6"/>
    <x v="0"/>
  </r>
  <r>
    <n v="113"/>
    <d v="2020-07-06T00:00:00"/>
    <x v="4"/>
    <x v="0"/>
    <x v="2"/>
    <x v="0"/>
    <n v="2"/>
    <x v="8"/>
    <x v="1"/>
    <x v="0"/>
    <x v="3"/>
    <n v="3203"/>
    <s v="seg"/>
    <x v="6"/>
    <x v="0"/>
  </r>
  <r>
    <n v="114"/>
    <d v="2020-07-07T00:00:00"/>
    <x v="7"/>
    <x v="0"/>
    <x v="0"/>
    <x v="8"/>
    <n v="0"/>
    <x v="8"/>
    <x v="3"/>
    <x v="0"/>
    <x v="5"/>
    <n v="4246"/>
    <s v="ter"/>
    <x v="6"/>
    <x v="0"/>
  </r>
  <r>
    <n v="115"/>
    <d v="2020-07-10T00:00:00"/>
    <x v="8"/>
    <x v="0"/>
    <x v="0"/>
    <x v="5"/>
    <n v="0"/>
    <x v="5"/>
    <x v="3"/>
    <x v="1"/>
    <x v="8"/>
    <n v="4229"/>
    <s v="sex"/>
    <x v="6"/>
    <x v="0"/>
  </r>
  <r>
    <n v="116"/>
    <d v="2020-07-11T00:00:00"/>
    <x v="6"/>
    <x v="0"/>
    <x v="2"/>
    <x v="3"/>
    <n v="1"/>
    <x v="1"/>
    <x v="1"/>
    <x v="2"/>
    <x v="2"/>
    <n v="3256"/>
    <s v="sáb"/>
    <x v="6"/>
    <x v="0"/>
  </r>
  <r>
    <n v="117"/>
    <d v="2020-07-12T00:00:00"/>
    <x v="7"/>
    <x v="0"/>
    <x v="0"/>
    <x v="2"/>
    <n v="4"/>
    <x v="0"/>
    <x v="1"/>
    <x v="2"/>
    <x v="7"/>
    <n v="2861"/>
    <s v="dom"/>
    <x v="6"/>
    <x v="0"/>
  </r>
  <r>
    <n v="118"/>
    <d v="2020-07-12T00:00:00"/>
    <x v="2"/>
    <x v="0"/>
    <x v="2"/>
    <x v="8"/>
    <n v="0"/>
    <x v="7"/>
    <x v="2"/>
    <x v="2"/>
    <x v="8"/>
    <n v="118"/>
    <s v="dom"/>
    <x v="6"/>
    <x v="0"/>
  </r>
  <r>
    <n v="119"/>
    <d v="2020-07-13T00:00:00"/>
    <x v="1"/>
    <x v="0"/>
    <x v="3"/>
    <x v="7"/>
    <n v="3.5"/>
    <x v="3"/>
    <x v="1"/>
    <x v="0"/>
    <x v="5"/>
    <n v="3716"/>
    <s v="seg"/>
    <x v="6"/>
    <x v="0"/>
  </r>
  <r>
    <n v="120"/>
    <d v="2020-07-14T00:00:00"/>
    <x v="8"/>
    <x v="0"/>
    <x v="2"/>
    <x v="5"/>
    <n v="0"/>
    <x v="7"/>
    <x v="0"/>
    <x v="0"/>
    <x v="7"/>
    <n v="0"/>
    <s v="ter"/>
    <x v="6"/>
    <x v="0"/>
  </r>
  <r>
    <n v="121"/>
    <d v="2020-07-16T00:00:00"/>
    <x v="2"/>
    <x v="0"/>
    <x v="1"/>
    <x v="4"/>
    <n v="0"/>
    <x v="1"/>
    <x v="0"/>
    <x v="2"/>
    <x v="5"/>
    <n v="0"/>
    <s v="qui"/>
    <x v="6"/>
    <x v="0"/>
  </r>
  <r>
    <n v="122"/>
    <d v="2020-07-18T00:00:00"/>
    <x v="5"/>
    <x v="0"/>
    <x v="1"/>
    <x v="2"/>
    <n v="0"/>
    <x v="0"/>
    <x v="3"/>
    <x v="2"/>
    <x v="5"/>
    <n v="532"/>
    <s v="sáb"/>
    <x v="6"/>
    <x v="0"/>
  </r>
  <r>
    <n v="123"/>
    <d v="2020-07-19T00:00:00"/>
    <x v="7"/>
    <x v="0"/>
    <x v="2"/>
    <x v="7"/>
    <n v="0"/>
    <x v="1"/>
    <x v="0"/>
    <x v="2"/>
    <x v="0"/>
    <n v="0"/>
    <s v="dom"/>
    <x v="6"/>
    <x v="0"/>
  </r>
  <r>
    <n v="124"/>
    <d v="2020-07-22T00:00:00"/>
    <x v="7"/>
    <x v="0"/>
    <x v="2"/>
    <x v="4"/>
    <n v="0"/>
    <x v="1"/>
    <x v="0"/>
    <x v="0"/>
    <x v="1"/>
    <n v="0"/>
    <s v="qua"/>
    <x v="6"/>
    <x v="0"/>
  </r>
  <r>
    <n v="125"/>
    <d v="2020-07-26T00:00:00"/>
    <x v="1"/>
    <x v="0"/>
    <x v="0"/>
    <x v="7"/>
    <n v="5"/>
    <x v="6"/>
    <x v="1"/>
    <x v="2"/>
    <x v="8"/>
    <n v="4281"/>
    <s v="dom"/>
    <x v="6"/>
    <x v="0"/>
  </r>
  <r>
    <n v="126"/>
    <d v="2020-07-27T00:00:00"/>
    <x v="2"/>
    <x v="0"/>
    <x v="0"/>
    <x v="0"/>
    <n v="0"/>
    <x v="7"/>
    <x v="3"/>
    <x v="0"/>
    <x v="8"/>
    <n v="4455"/>
    <s v="seg"/>
    <x v="6"/>
    <x v="0"/>
  </r>
  <r>
    <n v="127"/>
    <d v="2020-07-28T00:00:00"/>
    <x v="2"/>
    <x v="0"/>
    <x v="2"/>
    <x v="7"/>
    <n v="0"/>
    <x v="4"/>
    <x v="3"/>
    <x v="2"/>
    <x v="4"/>
    <n v="4444"/>
    <s v="ter"/>
    <x v="6"/>
    <x v="0"/>
  </r>
  <r>
    <n v="128"/>
    <d v="2020-07-28T00:00:00"/>
    <x v="1"/>
    <x v="0"/>
    <x v="3"/>
    <x v="7"/>
    <n v="2"/>
    <x v="4"/>
    <x v="1"/>
    <x v="2"/>
    <x v="3"/>
    <n v="2777"/>
    <s v="ter"/>
    <x v="6"/>
    <x v="0"/>
  </r>
  <r>
    <n v="129"/>
    <d v="2020-07-30T00:00:00"/>
    <x v="8"/>
    <x v="0"/>
    <x v="1"/>
    <x v="4"/>
    <n v="3"/>
    <x v="8"/>
    <x v="1"/>
    <x v="2"/>
    <x v="6"/>
    <n v="4940"/>
    <s v="qui"/>
    <x v="6"/>
    <x v="0"/>
  </r>
  <r>
    <n v="130"/>
    <d v="2020-07-30T00:00:00"/>
    <x v="1"/>
    <x v="1"/>
    <x v="1"/>
    <x v="3"/>
    <n v="0"/>
    <x v="3"/>
    <x v="0"/>
    <x v="2"/>
    <x v="6"/>
    <n v="0"/>
    <s v="qui"/>
    <x v="6"/>
    <x v="0"/>
  </r>
  <r>
    <n v="131"/>
    <d v="2020-08-01T00:00:00"/>
    <x v="4"/>
    <x v="0"/>
    <x v="0"/>
    <x v="5"/>
    <n v="0"/>
    <x v="5"/>
    <x v="0"/>
    <x v="1"/>
    <x v="2"/>
    <n v="0"/>
    <s v="sáb"/>
    <x v="7"/>
    <x v="0"/>
  </r>
  <r>
    <n v="132"/>
    <d v="2020-08-03T00:00:00"/>
    <x v="0"/>
    <x v="0"/>
    <x v="1"/>
    <x v="8"/>
    <n v="0"/>
    <x v="8"/>
    <x v="3"/>
    <x v="0"/>
    <x v="0"/>
    <n v="2521"/>
    <s v="seg"/>
    <x v="7"/>
    <x v="0"/>
  </r>
  <r>
    <n v="133"/>
    <d v="2020-08-04T00:00:00"/>
    <x v="7"/>
    <x v="0"/>
    <x v="1"/>
    <x v="3"/>
    <n v="0"/>
    <x v="2"/>
    <x v="3"/>
    <x v="0"/>
    <x v="5"/>
    <n v="1430"/>
    <s v="ter"/>
    <x v="7"/>
    <x v="0"/>
  </r>
  <r>
    <n v="134"/>
    <d v="2020-08-07T00:00:00"/>
    <x v="7"/>
    <x v="0"/>
    <x v="1"/>
    <x v="7"/>
    <n v="5"/>
    <x v="0"/>
    <x v="1"/>
    <x v="1"/>
    <x v="1"/>
    <n v="1505"/>
    <s v="sex"/>
    <x v="7"/>
    <x v="0"/>
  </r>
  <r>
    <n v="135"/>
    <d v="2020-08-09T00:00:00"/>
    <x v="5"/>
    <x v="0"/>
    <x v="1"/>
    <x v="0"/>
    <n v="0"/>
    <x v="1"/>
    <x v="3"/>
    <x v="2"/>
    <x v="5"/>
    <n v="921"/>
    <s v="dom"/>
    <x v="7"/>
    <x v="0"/>
  </r>
  <r>
    <n v="136"/>
    <d v="2020-08-09T00:00:00"/>
    <x v="3"/>
    <x v="0"/>
    <x v="0"/>
    <x v="7"/>
    <n v="0"/>
    <x v="2"/>
    <x v="2"/>
    <x v="1"/>
    <x v="2"/>
    <n v="206"/>
    <s v="dom"/>
    <x v="7"/>
    <x v="0"/>
  </r>
  <r>
    <n v="137"/>
    <d v="2020-08-10T00:00:00"/>
    <x v="7"/>
    <x v="1"/>
    <x v="0"/>
    <x v="8"/>
    <n v="0"/>
    <x v="6"/>
    <x v="0"/>
    <x v="0"/>
    <x v="8"/>
    <n v="0"/>
    <s v="seg"/>
    <x v="7"/>
    <x v="0"/>
  </r>
  <r>
    <n v="138"/>
    <d v="2020-08-11T00:00:00"/>
    <x v="3"/>
    <x v="0"/>
    <x v="3"/>
    <x v="1"/>
    <n v="0"/>
    <x v="5"/>
    <x v="0"/>
    <x v="1"/>
    <x v="7"/>
    <n v="0"/>
    <s v="ter"/>
    <x v="7"/>
    <x v="0"/>
  </r>
  <r>
    <n v="139"/>
    <d v="2020-08-12T00:00:00"/>
    <x v="6"/>
    <x v="0"/>
    <x v="3"/>
    <x v="0"/>
    <n v="0"/>
    <x v="4"/>
    <x v="3"/>
    <x v="1"/>
    <x v="1"/>
    <n v="1835"/>
    <s v="qua"/>
    <x v="7"/>
    <x v="0"/>
  </r>
  <r>
    <n v="140"/>
    <d v="2020-08-13T00:00:00"/>
    <x v="5"/>
    <x v="0"/>
    <x v="1"/>
    <x v="8"/>
    <n v="1"/>
    <x v="4"/>
    <x v="1"/>
    <x v="1"/>
    <x v="2"/>
    <n v="2333"/>
    <s v="qui"/>
    <x v="7"/>
    <x v="0"/>
  </r>
  <r>
    <n v="141"/>
    <d v="2020-08-13T00:00:00"/>
    <x v="7"/>
    <x v="1"/>
    <x v="1"/>
    <x v="2"/>
    <n v="0"/>
    <x v="7"/>
    <x v="0"/>
    <x v="1"/>
    <x v="5"/>
    <n v="0"/>
    <s v="qui"/>
    <x v="7"/>
    <x v="0"/>
  </r>
  <r>
    <n v="142"/>
    <d v="2020-08-13T00:00:00"/>
    <x v="6"/>
    <x v="0"/>
    <x v="1"/>
    <x v="6"/>
    <n v="0"/>
    <x v="2"/>
    <x v="3"/>
    <x v="1"/>
    <x v="1"/>
    <n v="1890"/>
    <s v="qui"/>
    <x v="7"/>
    <x v="0"/>
  </r>
  <r>
    <n v="143"/>
    <d v="2020-08-15T00:00:00"/>
    <x v="7"/>
    <x v="0"/>
    <x v="1"/>
    <x v="4"/>
    <n v="0"/>
    <x v="2"/>
    <x v="3"/>
    <x v="2"/>
    <x v="3"/>
    <n v="1951"/>
    <s v="sáb"/>
    <x v="7"/>
    <x v="0"/>
  </r>
  <r>
    <n v="144"/>
    <d v="2020-08-21T00:00:00"/>
    <x v="6"/>
    <x v="0"/>
    <x v="1"/>
    <x v="3"/>
    <n v="5"/>
    <x v="7"/>
    <x v="1"/>
    <x v="2"/>
    <x v="2"/>
    <n v="3692"/>
    <s v="sex"/>
    <x v="7"/>
    <x v="0"/>
  </r>
  <r>
    <n v="145"/>
    <d v="2020-08-21T00:00:00"/>
    <x v="7"/>
    <x v="0"/>
    <x v="3"/>
    <x v="8"/>
    <n v="0"/>
    <x v="0"/>
    <x v="2"/>
    <x v="2"/>
    <x v="2"/>
    <n v="242"/>
    <s v="sex"/>
    <x v="7"/>
    <x v="0"/>
  </r>
  <r>
    <n v="146"/>
    <d v="2020-08-23T00:00:00"/>
    <x v="6"/>
    <x v="1"/>
    <x v="1"/>
    <x v="2"/>
    <n v="0"/>
    <x v="8"/>
    <x v="0"/>
    <x v="2"/>
    <x v="0"/>
    <n v="0"/>
    <s v="dom"/>
    <x v="7"/>
    <x v="0"/>
  </r>
  <r>
    <n v="147"/>
    <d v="2020-08-25T00:00:00"/>
    <x v="3"/>
    <x v="0"/>
    <x v="0"/>
    <x v="8"/>
    <n v="0"/>
    <x v="7"/>
    <x v="0"/>
    <x v="0"/>
    <x v="2"/>
    <n v="0"/>
    <s v="ter"/>
    <x v="7"/>
    <x v="0"/>
  </r>
  <r>
    <n v="148"/>
    <d v="2020-08-26T00:00:00"/>
    <x v="8"/>
    <x v="0"/>
    <x v="1"/>
    <x v="8"/>
    <n v="0"/>
    <x v="5"/>
    <x v="3"/>
    <x v="0"/>
    <x v="6"/>
    <n v="845"/>
    <s v="qua"/>
    <x v="7"/>
    <x v="0"/>
  </r>
  <r>
    <n v="149"/>
    <d v="2020-08-27T00:00:00"/>
    <x v="2"/>
    <x v="0"/>
    <x v="2"/>
    <x v="6"/>
    <n v="0"/>
    <x v="8"/>
    <x v="2"/>
    <x v="0"/>
    <x v="2"/>
    <n v="395"/>
    <s v="qui"/>
    <x v="7"/>
    <x v="0"/>
  </r>
  <r>
    <n v="150"/>
    <d v="2020-08-27T00:00:00"/>
    <x v="6"/>
    <x v="1"/>
    <x v="1"/>
    <x v="4"/>
    <n v="0"/>
    <x v="4"/>
    <x v="2"/>
    <x v="1"/>
    <x v="5"/>
    <n v="88"/>
    <s v="qui"/>
    <x v="7"/>
    <x v="0"/>
  </r>
  <r>
    <n v="151"/>
    <d v="2020-08-30T00:00:00"/>
    <x v="3"/>
    <x v="0"/>
    <x v="1"/>
    <x v="2"/>
    <n v="0"/>
    <x v="1"/>
    <x v="0"/>
    <x v="1"/>
    <x v="0"/>
    <n v="0"/>
    <s v="dom"/>
    <x v="7"/>
    <x v="0"/>
  </r>
  <r>
    <n v="152"/>
    <d v="2020-08-31T00:00:00"/>
    <x v="6"/>
    <x v="1"/>
    <x v="2"/>
    <x v="8"/>
    <n v="2.5"/>
    <x v="3"/>
    <x v="1"/>
    <x v="2"/>
    <x v="7"/>
    <n v="3488"/>
    <s v="seg"/>
    <x v="7"/>
    <x v="0"/>
  </r>
  <r>
    <n v="153"/>
    <d v="2020-09-05T00:00:00"/>
    <x v="1"/>
    <x v="1"/>
    <x v="0"/>
    <x v="2"/>
    <n v="0"/>
    <x v="6"/>
    <x v="2"/>
    <x v="0"/>
    <x v="2"/>
    <n v="351"/>
    <s v="sáb"/>
    <x v="8"/>
    <x v="0"/>
  </r>
  <r>
    <n v="154"/>
    <d v="2020-09-06T00:00:00"/>
    <x v="6"/>
    <x v="0"/>
    <x v="3"/>
    <x v="6"/>
    <n v="0"/>
    <x v="1"/>
    <x v="2"/>
    <x v="2"/>
    <x v="1"/>
    <n v="430"/>
    <s v="dom"/>
    <x v="8"/>
    <x v="0"/>
  </r>
  <r>
    <n v="155"/>
    <d v="2020-09-07T00:00:00"/>
    <x v="8"/>
    <x v="0"/>
    <x v="1"/>
    <x v="3"/>
    <n v="0"/>
    <x v="8"/>
    <x v="3"/>
    <x v="0"/>
    <x v="5"/>
    <n v="4871"/>
    <s v="seg"/>
    <x v="8"/>
    <x v="0"/>
  </r>
  <r>
    <n v="156"/>
    <d v="2020-09-11T00:00:00"/>
    <x v="4"/>
    <x v="0"/>
    <x v="2"/>
    <x v="6"/>
    <n v="1.5"/>
    <x v="8"/>
    <x v="1"/>
    <x v="2"/>
    <x v="3"/>
    <n v="1230"/>
    <s v="sex"/>
    <x v="8"/>
    <x v="0"/>
  </r>
  <r>
    <n v="157"/>
    <d v="2020-09-13T00:00:00"/>
    <x v="2"/>
    <x v="0"/>
    <x v="3"/>
    <x v="6"/>
    <n v="0"/>
    <x v="3"/>
    <x v="0"/>
    <x v="2"/>
    <x v="8"/>
    <n v="0"/>
    <s v="dom"/>
    <x v="8"/>
    <x v="0"/>
  </r>
  <r>
    <n v="158"/>
    <d v="2020-09-14T00:00:00"/>
    <x v="2"/>
    <x v="0"/>
    <x v="1"/>
    <x v="2"/>
    <n v="0"/>
    <x v="7"/>
    <x v="3"/>
    <x v="2"/>
    <x v="1"/>
    <n v="1136"/>
    <s v="seg"/>
    <x v="8"/>
    <x v="0"/>
  </r>
  <r>
    <n v="159"/>
    <d v="2020-09-16T00:00:00"/>
    <x v="5"/>
    <x v="1"/>
    <x v="1"/>
    <x v="4"/>
    <n v="0"/>
    <x v="6"/>
    <x v="3"/>
    <x v="0"/>
    <x v="1"/>
    <n v="1819"/>
    <s v="qua"/>
    <x v="8"/>
    <x v="0"/>
  </r>
  <r>
    <n v="160"/>
    <d v="2020-09-22T00:00:00"/>
    <x v="5"/>
    <x v="0"/>
    <x v="0"/>
    <x v="4"/>
    <n v="2.5"/>
    <x v="2"/>
    <x v="1"/>
    <x v="2"/>
    <x v="7"/>
    <n v="709"/>
    <s v="ter"/>
    <x v="8"/>
    <x v="0"/>
  </r>
  <r>
    <n v="161"/>
    <d v="2020-09-23T00:00:00"/>
    <x v="3"/>
    <x v="0"/>
    <x v="2"/>
    <x v="6"/>
    <n v="0"/>
    <x v="5"/>
    <x v="2"/>
    <x v="1"/>
    <x v="7"/>
    <n v="366"/>
    <s v="qua"/>
    <x v="8"/>
    <x v="0"/>
  </r>
  <r>
    <n v="162"/>
    <d v="2020-09-25T00:00:00"/>
    <x v="5"/>
    <x v="0"/>
    <x v="1"/>
    <x v="1"/>
    <n v="0"/>
    <x v="0"/>
    <x v="2"/>
    <x v="2"/>
    <x v="2"/>
    <n v="133"/>
    <s v="sex"/>
    <x v="8"/>
    <x v="0"/>
  </r>
  <r>
    <n v="163"/>
    <d v="2020-09-27T00:00:00"/>
    <x v="7"/>
    <x v="0"/>
    <x v="3"/>
    <x v="4"/>
    <n v="0"/>
    <x v="3"/>
    <x v="2"/>
    <x v="1"/>
    <x v="1"/>
    <n v="470"/>
    <s v="dom"/>
    <x v="8"/>
    <x v="0"/>
  </r>
  <r>
    <n v="164"/>
    <d v="2020-09-30T00:00:00"/>
    <x v="1"/>
    <x v="0"/>
    <x v="1"/>
    <x v="2"/>
    <n v="0"/>
    <x v="2"/>
    <x v="0"/>
    <x v="2"/>
    <x v="6"/>
    <n v="0"/>
    <s v="qua"/>
    <x v="8"/>
    <x v="0"/>
  </r>
  <r>
    <n v="165"/>
    <d v="2020-10-04T00:00:00"/>
    <x v="5"/>
    <x v="0"/>
    <x v="1"/>
    <x v="4"/>
    <n v="1"/>
    <x v="7"/>
    <x v="1"/>
    <x v="0"/>
    <x v="3"/>
    <n v="2237"/>
    <s v="dom"/>
    <x v="9"/>
    <x v="0"/>
  </r>
  <r>
    <n v="166"/>
    <d v="2020-10-09T00:00:00"/>
    <x v="6"/>
    <x v="0"/>
    <x v="3"/>
    <x v="0"/>
    <n v="0"/>
    <x v="5"/>
    <x v="2"/>
    <x v="0"/>
    <x v="5"/>
    <n v="58"/>
    <s v="sex"/>
    <x v="9"/>
    <x v="0"/>
  </r>
  <r>
    <n v="167"/>
    <d v="2020-10-11T00:00:00"/>
    <x v="0"/>
    <x v="0"/>
    <x v="1"/>
    <x v="5"/>
    <n v="4.5"/>
    <x v="0"/>
    <x v="1"/>
    <x v="2"/>
    <x v="1"/>
    <n v="3299"/>
    <s v="dom"/>
    <x v="9"/>
    <x v="0"/>
  </r>
  <r>
    <n v="168"/>
    <d v="2020-10-12T00:00:00"/>
    <x v="7"/>
    <x v="0"/>
    <x v="3"/>
    <x v="8"/>
    <n v="0"/>
    <x v="4"/>
    <x v="2"/>
    <x v="2"/>
    <x v="1"/>
    <n v="369"/>
    <s v="seg"/>
    <x v="9"/>
    <x v="0"/>
  </r>
  <r>
    <n v="169"/>
    <d v="2020-10-12T00:00:00"/>
    <x v="0"/>
    <x v="0"/>
    <x v="2"/>
    <x v="5"/>
    <n v="0"/>
    <x v="2"/>
    <x v="2"/>
    <x v="0"/>
    <x v="3"/>
    <n v="229"/>
    <s v="seg"/>
    <x v="9"/>
    <x v="0"/>
  </r>
  <r>
    <n v="170"/>
    <d v="2020-10-13T00:00:00"/>
    <x v="1"/>
    <x v="0"/>
    <x v="0"/>
    <x v="6"/>
    <n v="2.5"/>
    <x v="3"/>
    <x v="1"/>
    <x v="0"/>
    <x v="4"/>
    <n v="1731"/>
    <s v="ter"/>
    <x v="9"/>
    <x v="0"/>
  </r>
  <r>
    <n v="171"/>
    <d v="2020-10-13T00:00:00"/>
    <x v="1"/>
    <x v="0"/>
    <x v="1"/>
    <x v="5"/>
    <n v="1.5"/>
    <x v="5"/>
    <x v="1"/>
    <x v="1"/>
    <x v="1"/>
    <n v="4823"/>
    <s v="ter"/>
    <x v="9"/>
    <x v="0"/>
  </r>
  <r>
    <n v="172"/>
    <d v="2020-10-14T00:00:00"/>
    <x v="8"/>
    <x v="0"/>
    <x v="0"/>
    <x v="4"/>
    <n v="0"/>
    <x v="2"/>
    <x v="2"/>
    <x v="2"/>
    <x v="1"/>
    <n v="57"/>
    <s v="qua"/>
    <x v="9"/>
    <x v="0"/>
  </r>
  <r>
    <n v="173"/>
    <d v="2020-10-16T00:00:00"/>
    <x v="4"/>
    <x v="0"/>
    <x v="1"/>
    <x v="0"/>
    <n v="0"/>
    <x v="0"/>
    <x v="2"/>
    <x v="0"/>
    <x v="6"/>
    <n v="466"/>
    <s v="sex"/>
    <x v="9"/>
    <x v="0"/>
  </r>
  <r>
    <n v="174"/>
    <d v="2020-10-16T00:00:00"/>
    <x v="1"/>
    <x v="0"/>
    <x v="3"/>
    <x v="8"/>
    <n v="0"/>
    <x v="4"/>
    <x v="0"/>
    <x v="2"/>
    <x v="2"/>
    <n v="0"/>
    <s v="sex"/>
    <x v="9"/>
    <x v="0"/>
  </r>
  <r>
    <n v="175"/>
    <d v="2020-10-17T00:00:00"/>
    <x v="3"/>
    <x v="0"/>
    <x v="0"/>
    <x v="1"/>
    <n v="0"/>
    <x v="4"/>
    <x v="0"/>
    <x v="2"/>
    <x v="0"/>
    <n v="0"/>
    <s v="sáb"/>
    <x v="9"/>
    <x v="0"/>
  </r>
  <r>
    <n v="176"/>
    <d v="2020-10-19T00:00:00"/>
    <x v="2"/>
    <x v="0"/>
    <x v="0"/>
    <x v="3"/>
    <n v="0"/>
    <x v="6"/>
    <x v="0"/>
    <x v="0"/>
    <x v="3"/>
    <n v="0"/>
    <s v="seg"/>
    <x v="9"/>
    <x v="0"/>
  </r>
  <r>
    <n v="177"/>
    <d v="2020-10-22T00:00:00"/>
    <x v="6"/>
    <x v="0"/>
    <x v="0"/>
    <x v="8"/>
    <n v="2"/>
    <x v="0"/>
    <x v="1"/>
    <x v="2"/>
    <x v="1"/>
    <n v="3549"/>
    <s v="qui"/>
    <x v="9"/>
    <x v="0"/>
  </r>
  <r>
    <n v="178"/>
    <d v="2020-10-24T00:00:00"/>
    <x v="6"/>
    <x v="0"/>
    <x v="3"/>
    <x v="7"/>
    <n v="0"/>
    <x v="1"/>
    <x v="3"/>
    <x v="0"/>
    <x v="1"/>
    <n v="2476"/>
    <s v="sáb"/>
    <x v="9"/>
    <x v="0"/>
  </r>
  <r>
    <n v="179"/>
    <d v="2020-10-26T00:00:00"/>
    <x v="2"/>
    <x v="0"/>
    <x v="0"/>
    <x v="0"/>
    <n v="4.5"/>
    <x v="6"/>
    <x v="1"/>
    <x v="2"/>
    <x v="5"/>
    <n v="1935"/>
    <s v="seg"/>
    <x v="9"/>
    <x v="0"/>
  </r>
  <r>
    <n v="180"/>
    <d v="2020-10-27T00:00:00"/>
    <x v="4"/>
    <x v="0"/>
    <x v="1"/>
    <x v="7"/>
    <n v="0"/>
    <x v="3"/>
    <x v="2"/>
    <x v="2"/>
    <x v="7"/>
    <n v="143"/>
    <s v="ter"/>
    <x v="9"/>
    <x v="0"/>
  </r>
  <r>
    <n v="181"/>
    <d v="2020-10-27T00:00:00"/>
    <x v="0"/>
    <x v="0"/>
    <x v="0"/>
    <x v="4"/>
    <n v="3"/>
    <x v="6"/>
    <x v="1"/>
    <x v="1"/>
    <x v="2"/>
    <n v="2397"/>
    <s v="ter"/>
    <x v="9"/>
    <x v="0"/>
  </r>
  <r>
    <n v="182"/>
    <d v="2020-10-30T00:00:00"/>
    <x v="6"/>
    <x v="0"/>
    <x v="1"/>
    <x v="3"/>
    <n v="1.5"/>
    <x v="6"/>
    <x v="1"/>
    <x v="1"/>
    <x v="1"/>
    <n v="4618"/>
    <s v="sex"/>
    <x v="9"/>
    <x v="0"/>
  </r>
  <r>
    <n v="183"/>
    <d v="2020-11-07T00:00:00"/>
    <x v="0"/>
    <x v="0"/>
    <x v="1"/>
    <x v="0"/>
    <n v="0"/>
    <x v="2"/>
    <x v="3"/>
    <x v="0"/>
    <x v="7"/>
    <n v="3849"/>
    <s v="sáb"/>
    <x v="10"/>
    <x v="0"/>
  </r>
  <r>
    <n v="184"/>
    <d v="2020-11-11T00:00:00"/>
    <x v="6"/>
    <x v="0"/>
    <x v="2"/>
    <x v="6"/>
    <n v="0"/>
    <x v="8"/>
    <x v="3"/>
    <x v="1"/>
    <x v="7"/>
    <n v="588"/>
    <s v="qua"/>
    <x v="10"/>
    <x v="0"/>
  </r>
  <r>
    <n v="185"/>
    <d v="2020-11-12T00:00:00"/>
    <x v="6"/>
    <x v="0"/>
    <x v="2"/>
    <x v="2"/>
    <n v="0"/>
    <x v="6"/>
    <x v="0"/>
    <x v="1"/>
    <x v="7"/>
    <n v="0"/>
    <s v="qui"/>
    <x v="10"/>
    <x v="0"/>
  </r>
  <r>
    <n v="186"/>
    <d v="2020-11-15T00:00:00"/>
    <x v="7"/>
    <x v="0"/>
    <x v="1"/>
    <x v="7"/>
    <n v="4.5"/>
    <x v="6"/>
    <x v="1"/>
    <x v="2"/>
    <x v="1"/>
    <n v="4411"/>
    <s v="dom"/>
    <x v="10"/>
    <x v="0"/>
  </r>
  <r>
    <n v="187"/>
    <d v="2020-11-16T00:00:00"/>
    <x v="4"/>
    <x v="0"/>
    <x v="3"/>
    <x v="8"/>
    <n v="0"/>
    <x v="6"/>
    <x v="0"/>
    <x v="0"/>
    <x v="0"/>
    <n v="0"/>
    <s v="seg"/>
    <x v="10"/>
    <x v="0"/>
  </r>
  <r>
    <n v="188"/>
    <d v="2020-11-18T00:00:00"/>
    <x v="0"/>
    <x v="0"/>
    <x v="3"/>
    <x v="1"/>
    <n v="0"/>
    <x v="4"/>
    <x v="0"/>
    <x v="0"/>
    <x v="5"/>
    <n v="0"/>
    <s v="qua"/>
    <x v="10"/>
    <x v="0"/>
  </r>
  <r>
    <n v="189"/>
    <d v="2020-11-19T00:00:00"/>
    <x v="3"/>
    <x v="0"/>
    <x v="1"/>
    <x v="6"/>
    <n v="0"/>
    <x v="6"/>
    <x v="2"/>
    <x v="1"/>
    <x v="6"/>
    <n v="282"/>
    <s v="qui"/>
    <x v="10"/>
    <x v="0"/>
  </r>
  <r>
    <n v="190"/>
    <d v="2020-11-20T00:00:00"/>
    <x v="7"/>
    <x v="1"/>
    <x v="1"/>
    <x v="0"/>
    <n v="0"/>
    <x v="4"/>
    <x v="2"/>
    <x v="2"/>
    <x v="7"/>
    <n v="244"/>
    <s v="sex"/>
    <x v="10"/>
    <x v="0"/>
  </r>
  <r>
    <n v="191"/>
    <d v="2020-11-22T00:00:00"/>
    <x v="0"/>
    <x v="0"/>
    <x v="1"/>
    <x v="8"/>
    <n v="0"/>
    <x v="3"/>
    <x v="2"/>
    <x v="0"/>
    <x v="0"/>
    <n v="278"/>
    <s v="dom"/>
    <x v="10"/>
    <x v="0"/>
  </r>
  <r>
    <n v="192"/>
    <d v="2020-11-22T00:00:00"/>
    <x v="8"/>
    <x v="1"/>
    <x v="0"/>
    <x v="3"/>
    <n v="5"/>
    <x v="4"/>
    <x v="1"/>
    <x v="0"/>
    <x v="1"/>
    <n v="4879"/>
    <s v="dom"/>
    <x v="10"/>
    <x v="0"/>
  </r>
  <r>
    <n v="193"/>
    <d v="2020-11-24T00:00:00"/>
    <x v="7"/>
    <x v="1"/>
    <x v="2"/>
    <x v="4"/>
    <n v="0"/>
    <x v="8"/>
    <x v="2"/>
    <x v="2"/>
    <x v="5"/>
    <n v="414"/>
    <s v="ter"/>
    <x v="10"/>
    <x v="0"/>
  </r>
  <r>
    <n v="194"/>
    <d v="2020-11-25T00:00:00"/>
    <x v="8"/>
    <x v="1"/>
    <x v="0"/>
    <x v="0"/>
    <n v="5"/>
    <x v="7"/>
    <x v="1"/>
    <x v="0"/>
    <x v="6"/>
    <n v="2569"/>
    <s v="qua"/>
    <x v="10"/>
    <x v="0"/>
  </r>
  <r>
    <n v="195"/>
    <d v="2020-11-29T00:00:00"/>
    <x v="8"/>
    <x v="0"/>
    <x v="1"/>
    <x v="2"/>
    <n v="0"/>
    <x v="7"/>
    <x v="0"/>
    <x v="0"/>
    <x v="3"/>
    <n v="0"/>
    <s v="dom"/>
    <x v="10"/>
    <x v="0"/>
  </r>
  <r>
    <n v="196"/>
    <d v="2020-11-30T00:00:00"/>
    <x v="2"/>
    <x v="0"/>
    <x v="0"/>
    <x v="1"/>
    <n v="0"/>
    <x v="5"/>
    <x v="3"/>
    <x v="0"/>
    <x v="0"/>
    <n v="4685"/>
    <s v="seg"/>
    <x v="10"/>
    <x v="0"/>
  </r>
  <r>
    <n v="197"/>
    <d v="2020-11-30T00:00:00"/>
    <x v="1"/>
    <x v="0"/>
    <x v="0"/>
    <x v="0"/>
    <n v="0"/>
    <x v="0"/>
    <x v="3"/>
    <x v="0"/>
    <x v="8"/>
    <n v="1222"/>
    <s v="seg"/>
    <x v="10"/>
    <x v="0"/>
  </r>
  <r>
    <n v="198"/>
    <d v="2020-12-01T00:00:00"/>
    <x v="3"/>
    <x v="0"/>
    <x v="0"/>
    <x v="8"/>
    <n v="3.5"/>
    <x v="3"/>
    <x v="1"/>
    <x v="2"/>
    <x v="6"/>
    <n v="1806"/>
    <s v="ter"/>
    <x v="11"/>
    <x v="0"/>
  </r>
  <r>
    <n v="199"/>
    <d v="2020-12-03T00:00:00"/>
    <x v="2"/>
    <x v="0"/>
    <x v="3"/>
    <x v="7"/>
    <n v="0"/>
    <x v="4"/>
    <x v="0"/>
    <x v="0"/>
    <x v="4"/>
    <n v="0"/>
    <s v="qui"/>
    <x v="11"/>
    <x v="0"/>
  </r>
  <r>
    <n v="200"/>
    <d v="2020-12-04T00:00:00"/>
    <x v="6"/>
    <x v="1"/>
    <x v="0"/>
    <x v="0"/>
    <n v="1"/>
    <x v="2"/>
    <x v="1"/>
    <x v="1"/>
    <x v="5"/>
    <n v="2877"/>
    <s v="sex"/>
    <x v="11"/>
    <x v="0"/>
  </r>
  <r>
    <n v="201"/>
    <d v="2020-12-04T00:00:00"/>
    <x v="1"/>
    <x v="0"/>
    <x v="0"/>
    <x v="2"/>
    <n v="0"/>
    <x v="3"/>
    <x v="3"/>
    <x v="1"/>
    <x v="5"/>
    <n v="1710"/>
    <s v="sex"/>
    <x v="11"/>
    <x v="0"/>
  </r>
  <r>
    <n v="202"/>
    <d v="2020-12-04T00:00:00"/>
    <x v="6"/>
    <x v="0"/>
    <x v="0"/>
    <x v="6"/>
    <n v="0"/>
    <x v="6"/>
    <x v="0"/>
    <x v="1"/>
    <x v="1"/>
    <n v="0"/>
    <s v="sex"/>
    <x v="11"/>
    <x v="0"/>
  </r>
  <r>
    <n v="203"/>
    <d v="2020-12-06T00:00:00"/>
    <x v="5"/>
    <x v="0"/>
    <x v="2"/>
    <x v="3"/>
    <n v="2.5"/>
    <x v="4"/>
    <x v="1"/>
    <x v="1"/>
    <x v="6"/>
    <n v="903"/>
    <s v="dom"/>
    <x v="11"/>
    <x v="0"/>
  </r>
  <r>
    <n v="204"/>
    <d v="2020-12-08T00:00:00"/>
    <x v="2"/>
    <x v="0"/>
    <x v="2"/>
    <x v="0"/>
    <n v="0"/>
    <x v="5"/>
    <x v="2"/>
    <x v="1"/>
    <x v="0"/>
    <n v="115"/>
    <s v="ter"/>
    <x v="11"/>
    <x v="0"/>
  </r>
  <r>
    <n v="205"/>
    <d v="2020-12-08T00:00:00"/>
    <x v="5"/>
    <x v="0"/>
    <x v="3"/>
    <x v="7"/>
    <n v="0"/>
    <x v="2"/>
    <x v="3"/>
    <x v="0"/>
    <x v="6"/>
    <n v="1168"/>
    <s v="ter"/>
    <x v="11"/>
    <x v="0"/>
  </r>
  <r>
    <n v="206"/>
    <d v="2020-12-09T00:00:00"/>
    <x v="7"/>
    <x v="0"/>
    <x v="2"/>
    <x v="7"/>
    <n v="5"/>
    <x v="6"/>
    <x v="1"/>
    <x v="2"/>
    <x v="8"/>
    <n v="2479"/>
    <s v="qua"/>
    <x v="11"/>
    <x v="0"/>
  </r>
  <r>
    <n v="207"/>
    <d v="2020-12-10T00:00:00"/>
    <x v="0"/>
    <x v="0"/>
    <x v="2"/>
    <x v="6"/>
    <n v="0"/>
    <x v="3"/>
    <x v="0"/>
    <x v="0"/>
    <x v="0"/>
    <n v="0"/>
    <s v="qui"/>
    <x v="11"/>
    <x v="0"/>
  </r>
  <r>
    <n v="208"/>
    <d v="2020-12-11T00:00:00"/>
    <x v="2"/>
    <x v="0"/>
    <x v="2"/>
    <x v="8"/>
    <n v="0"/>
    <x v="5"/>
    <x v="2"/>
    <x v="1"/>
    <x v="6"/>
    <n v="361"/>
    <s v="sex"/>
    <x v="11"/>
    <x v="0"/>
  </r>
  <r>
    <n v="209"/>
    <d v="2020-12-12T00:00:00"/>
    <x v="8"/>
    <x v="0"/>
    <x v="3"/>
    <x v="7"/>
    <n v="0"/>
    <x v="0"/>
    <x v="3"/>
    <x v="1"/>
    <x v="5"/>
    <n v="4176"/>
    <s v="sáb"/>
    <x v="11"/>
    <x v="0"/>
  </r>
  <r>
    <n v="210"/>
    <d v="2020-12-16T00:00:00"/>
    <x v="5"/>
    <x v="0"/>
    <x v="1"/>
    <x v="0"/>
    <n v="3"/>
    <x v="7"/>
    <x v="1"/>
    <x v="1"/>
    <x v="3"/>
    <n v="3846"/>
    <s v="qua"/>
    <x v="11"/>
    <x v="0"/>
  </r>
  <r>
    <n v="211"/>
    <d v="2020-12-18T00:00:00"/>
    <x v="8"/>
    <x v="0"/>
    <x v="1"/>
    <x v="5"/>
    <n v="0"/>
    <x v="1"/>
    <x v="3"/>
    <x v="1"/>
    <x v="8"/>
    <n v="4288"/>
    <s v="sex"/>
    <x v="11"/>
    <x v="0"/>
  </r>
  <r>
    <n v="212"/>
    <d v="2020-12-23T00:00:00"/>
    <x v="7"/>
    <x v="0"/>
    <x v="0"/>
    <x v="6"/>
    <n v="2.5"/>
    <x v="8"/>
    <x v="1"/>
    <x v="2"/>
    <x v="3"/>
    <n v="3734"/>
    <s v="qua"/>
    <x v="11"/>
    <x v="0"/>
  </r>
  <r>
    <n v="213"/>
    <d v="2020-12-23T00:00:00"/>
    <x v="0"/>
    <x v="0"/>
    <x v="2"/>
    <x v="3"/>
    <n v="0"/>
    <x v="3"/>
    <x v="0"/>
    <x v="1"/>
    <x v="0"/>
    <n v="0"/>
    <s v="qua"/>
    <x v="11"/>
    <x v="0"/>
  </r>
  <r>
    <n v="214"/>
    <d v="2020-12-24T00:00:00"/>
    <x v="6"/>
    <x v="0"/>
    <x v="0"/>
    <x v="6"/>
    <n v="0"/>
    <x v="8"/>
    <x v="0"/>
    <x v="2"/>
    <x v="7"/>
    <n v="0"/>
    <s v="qui"/>
    <x v="11"/>
    <x v="0"/>
  </r>
  <r>
    <n v="215"/>
    <d v="2020-12-25T00:00:00"/>
    <x v="7"/>
    <x v="0"/>
    <x v="1"/>
    <x v="2"/>
    <n v="2.5"/>
    <x v="8"/>
    <x v="1"/>
    <x v="1"/>
    <x v="1"/>
    <n v="1486"/>
    <s v="sex"/>
    <x v="11"/>
    <x v="0"/>
  </r>
  <r>
    <n v="216"/>
    <d v="2020-12-25T00:00:00"/>
    <x v="3"/>
    <x v="0"/>
    <x v="0"/>
    <x v="6"/>
    <n v="0"/>
    <x v="1"/>
    <x v="0"/>
    <x v="2"/>
    <x v="3"/>
    <n v="0"/>
    <s v="sex"/>
    <x v="11"/>
    <x v="0"/>
  </r>
  <r>
    <n v="217"/>
    <d v="2020-12-27T00:00:00"/>
    <x v="2"/>
    <x v="0"/>
    <x v="0"/>
    <x v="3"/>
    <n v="0"/>
    <x v="2"/>
    <x v="3"/>
    <x v="0"/>
    <x v="3"/>
    <n v="733"/>
    <s v="dom"/>
    <x v="11"/>
    <x v="0"/>
  </r>
  <r>
    <n v="218"/>
    <d v="2020-12-27T00:00:00"/>
    <x v="3"/>
    <x v="0"/>
    <x v="0"/>
    <x v="0"/>
    <n v="0"/>
    <x v="8"/>
    <x v="2"/>
    <x v="0"/>
    <x v="3"/>
    <n v="265"/>
    <s v="dom"/>
    <x v="11"/>
    <x v="0"/>
  </r>
  <r>
    <n v="219"/>
    <d v="2020-12-30T00:00:00"/>
    <x v="7"/>
    <x v="0"/>
    <x v="3"/>
    <x v="0"/>
    <n v="0"/>
    <x v="3"/>
    <x v="3"/>
    <x v="1"/>
    <x v="4"/>
    <n v="5000"/>
    <s v="qua"/>
    <x v="11"/>
    <x v="0"/>
  </r>
  <r>
    <n v="220"/>
    <d v="2020-12-30T00:00:00"/>
    <x v="7"/>
    <x v="0"/>
    <x v="2"/>
    <x v="6"/>
    <n v="0"/>
    <x v="7"/>
    <x v="3"/>
    <x v="0"/>
    <x v="7"/>
    <n v="4366"/>
    <s v="qua"/>
    <x v="11"/>
    <x v="0"/>
  </r>
  <r>
    <n v="221"/>
    <d v="2020-12-31T00:00:00"/>
    <x v="8"/>
    <x v="0"/>
    <x v="0"/>
    <x v="0"/>
    <n v="2"/>
    <x v="5"/>
    <x v="1"/>
    <x v="0"/>
    <x v="7"/>
    <n v="3060"/>
    <s v="qui"/>
    <x v="11"/>
    <x v="0"/>
  </r>
  <r>
    <n v="222"/>
    <d v="2021-01-03T00:00:00"/>
    <x v="6"/>
    <x v="1"/>
    <x v="3"/>
    <x v="5"/>
    <n v="0"/>
    <x v="1"/>
    <x v="3"/>
    <x v="1"/>
    <x v="7"/>
    <n v="503"/>
    <s v="dom"/>
    <x v="0"/>
    <x v="1"/>
  </r>
  <r>
    <n v="223"/>
    <d v="2021-01-03T00:00:00"/>
    <x v="8"/>
    <x v="1"/>
    <x v="0"/>
    <x v="5"/>
    <n v="0"/>
    <x v="2"/>
    <x v="3"/>
    <x v="1"/>
    <x v="0"/>
    <n v="3846"/>
    <s v="dom"/>
    <x v="0"/>
    <x v="1"/>
  </r>
  <r>
    <n v="224"/>
    <d v="2021-01-06T00:00:00"/>
    <x v="6"/>
    <x v="0"/>
    <x v="1"/>
    <x v="1"/>
    <n v="0"/>
    <x v="5"/>
    <x v="3"/>
    <x v="0"/>
    <x v="1"/>
    <n v="1690"/>
    <s v="qua"/>
    <x v="0"/>
    <x v="1"/>
  </r>
  <r>
    <n v="225"/>
    <d v="2021-01-07T00:00:00"/>
    <x v="6"/>
    <x v="0"/>
    <x v="1"/>
    <x v="2"/>
    <n v="0"/>
    <x v="0"/>
    <x v="3"/>
    <x v="1"/>
    <x v="7"/>
    <n v="1010"/>
    <s v="qui"/>
    <x v="0"/>
    <x v="1"/>
  </r>
  <r>
    <n v="226"/>
    <d v="2021-01-08T00:00:00"/>
    <x v="7"/>
    <x v="0"/>
    <x v="3"/>
    <x v="3"/>
    <n v="0"/>
    <x v="5"/>
    <x v="0"/>
    <x v="1"/>
    <x v="0"/>
    <n v="0"/>
    <s v="sex"/>
    <x v="0"/>
    <x v="1"/>
  </r>
  <r>
    <n v="227"/>
    <d v="2021-01-08T00:00:00"/>
    <x v="7"/>
    <x v="0"/>
    <x v="1"/>
    <x v="8"/>
    <n v="0"/>
    <x v="8"/>
    <x v="0"/>
    <x v="2"/>
    <x v="5"/>
    <n v="0"/>
    <s v="sex"/>
    <x v="0"/>
    <x v="1"/>
  </r>
  <r>
    <n v="228"/>
    <d v="2021-01-08T00:00:00"/>
    <x v="3"/>
    <x v="0"/>
    <x v="0"/>
    <x v="4"/>
    <n v="4"/>
    <x v="6"/>
    <x v="1"/>
    <x v="1"/>
    <x v="2"/>
    <n v="1190"/>
    <s v="sex"/>
    <x v="0"/>
    <x v="1"/>
  </r>
  <r>
    <n v="229"/>
    <d v="2021-01-11T00:00:00"/>
    <x v="7"/>
    <x v="0"/>
    <x v="0"/>
    <x v="6"/>
    <n v="0"/>
    <x v="5"/>
    <x v="3"/>
    <x v="0"/>
    <x v="2"/>
    <n v="2459"/>
    <s v="seg"/>
    <x v="0"/>
    <x v="1"/>
  </r>
  <r>
    <n v="230"/>
    <d v="2021-01-13T00:00:00"/>
    <x v="1"/>
    <x v="0"/>
    <x v="0"/>
    <x v="3"/>
    <n v="1.5"/>
    <x v="5"/>
    <x v="1"/>
    <x v="2"/>
    <x v="6"/>
    <n v="995"/>
    <s v="qua"/>
    <x v="0"/>
    <x v="1"/>
  </r>
  <r>
    <n v="231"/>
    <d v="2021-01-16T00:00:00"/>
    <x v="7"/>
    <x v="0"/>
    <x v="0"/>
    <x v="5"/>
    <n v="2"/>
    <x v="1"/>
    <x v="1"/>
    <x v="0"/>
    <x v="2"/>
    <n v="2593"/>
    <s v="sáb"/>
    <x v="0"/>
    <x v="1"/>
  </r>
  <r>
    <n v="232"/>
    <d v="2021-01-19T00:00:00"/>
    <x v="7"/>
    <x v="0"/>
    <x v="3"/>
    <x v="4"/>
    <n v="0"/>
    <x v="5"/>
    <x v="0"/>
    <x v="0"/>
    <x v="2"/>
    <n v="0"/>
    <s v="ter"/>
    <x v="0"/>
    <x v="1"/>
  </r>
  <r>
    <n v="233"/>
    <d v="2021-01-23T00:00:00"/>
    <x v="4"/>
    <x v="0"/>
    <x v="2"/>
    <x v="3"/>
    <n v="0"/>
    <x v="0"/>
    <x v="2"/>
    <x v="1"/>
    <x v="0"/>
    <n v="8"/>
    <s v="sáb"/>
    <x v="0"/>
    <x v="1"/>
  </r>
  <r>
    <n v="234"/>
    <d v="2021-01-25T00:00:00"/>
    <x v="2"/>
    <x v="0"/>
    <x v="3"/>
    <x v="1"/>
    <n v="0"/>
    <x v="0"/>
    <x v="3"/>
    <x v="0"/>
    <x v="8"/>
    <n v="4259"/>
    <s v="seg"/>
    <x v="0"/>
    <x v="1"/>
  </r>
  <r>
    <n v="235"/>
    <d v="2021-01-26T00:00:00"/>
    <x v="7"/>
    <x v="0"/>
    <x v="1"/>
    <x v="0"/>
    <n v="0"/>
    <x v="6"/>
    <x v="3"/>
    <x v="2"/>
    <x v="2"/>
    <n v="2582"/>
    <s v="ter"/>
    <x v="0"/>
    <x v="1"/>
  </r>
  <r>
    <n v="236"/>
    <d v="2021-01-27T00:00:00"/>
    <x v="3"/>
    <x v="0"/>
    <x v="0"/>
    <x v="6"/>
    <n v="0"/>
    <x v="0"/>
    <x v="2"/>
    <x v="2"/>
    <x v="6"/>
    <n v="66"/>
    <s v="qua"/>
    <x v="0"/>
    <x v="1"/>
  </r>
  <r>
    <n v="237"/>
    <d v="2021-02-02T00:00:00"/>
    <x v="1"/>
    <x v="0"/>
    <x v="3"/>
    <x v="6"/>
    <n v="0.5"/>
    <x v="8"/>
    <x v="1"/>
    <x v="0"/>
    <x v="4"/>
    <n v="2437"/>
    <s v="ter"/>
    <x v="1"/>
    <x v="1"/>
  </r>
  <r>
    <n v="238"/>
    <d v="2021-02-02T00:00:00"/>
    <x v="7"/>
    <x v="1"/>
    <x v="3"/>
    <x v="1"/>
    <n v="0"/>
    <x v="1"/>
    <x v="0"/>
    <x v="0"/>
    <x v="0"/>
    <n v="0"/>
    <s v="ter"/>
    <x v="1"/>
    <x v="1"/>
  </r>
  <r>
    <n v="239"/>
    <d v="2021-02-03T00:00:00"/>
    <x v="6"/>
    <x v="0"/>
    <x v="2"/>
    <x v="8"/>
    <n v="0"/>
    <x v="8"/>
    <x v="3"/>
    <x v="0"/>
    <x v="0"/>
    <n v="2359"/>
    <s v="qua"/>
    <x v="1"/>
    <x v="1"/>
  </r>
  <r>
    <n v="240"/>
    <d v="2021-02-07T00:00:00"/>
    <x v="4"/>
    <x v="0"/>
    <x v="3"/>
    <x v="0"/>
    <n v="0"/>
    <x v="3"/>
    <x v="3"/>
    <x v="2"/>
    <x v="0"/>
    <n v="653"/>
    <s v="dom"/>
    <x v="1"/>
    <x v="1"/>
  </r>
  <r>
    <n v="241"/>
    <d v="2021-02-11T00:00:00"/>
    <x v="3"/>
    <x v="0"/>
    <x v="1"/>
    <x v="2"/>
    <n v="0"/>
    <x v="0"/>
    <x v="3"/>
    <x v="1"/>
    <x v="0"/>
    <n v="3487"/>
    <s v="qui"/>
    <x v="1"/>
    <x v="1"/>
  </r>
  <r>
    <n v="242"/>
    <d v="2021-02-11T00:00:00"/>
    <x v="5"/>
    <x v="0"/>
    <x v="1"/>
    <x v="3"/>
    <n v="0"/>
    <x v="4"/>
    <x v="2"/>
    <x v="1"/>
    <x v="8"/>
    <n v="67"/>
    <s v="qui"/>
    <x v="1"/>
    <x v="1"/>
  </r>
  <r>
    <n v="243"/>
    <d v="2021-02-13T00:00:00"/>
    <x v="4"/>
    <x v="0"/>
    <x v="3"/>
    <x v="5"/>
    <n v="2.5"/>
    <x v="1"/>
    <x v="1"/>
    <x v="2"/>
    <x v="6"/>
    <n v="1922"/>
    <s v="sáb"/>
    <x v="1"/>
    <x v="1"/>
  </r>
  <r>
    <n v="244"/>
    <d v="2021-02-14T00:00:00"/>
    <x v="7"/>
    <x v="0"/>
    <x v="2"/>
    <x v="6"/>
    <n v="0"/>
    <x v="7"/>
    <x v="3"/>
    <x v="2"/>
    <x v="0"/>
    <n v="4247"/>
    <s v="dom"/>
    <x v="1"/>
    <x v="1"/>
  </r>
  <r>
    <n v="245"/>
    <d v="2021-02-15T00:00:00"/>
    <x v="5"/>
    <x v="0"/>
    <x v="3"/>
    <x v="6"/>
    <n v="0"/>
    <x v="8"/>
    <x v="0"/>
    <x v="2"/>
    <x v="1"/>
    <n v="0"/>
    <s v="seg"/>
    <x v="1"/>
    <x v="1"/>
  </r>
  <r>
    <n v="246"/>
    <d v="2021-02-18T00:00:00"/>
    <x v="7"/>
    <x v="0"/>
    <x v="2"/>
    <x v="6"/>
    <n v="0"/>
    <x v="8"/>
    <x v="0"/>
    <x v="2"/>
    <x v="8"/>
    <n v="0"/>
    <s v="qui"/>
    <x v="1"/>
    <x v="1"/>
  </r>
  <r>
    <n v="247"/>
    <d v="2021-02-18T00:00:00"/>
    <x v="4"/>
    <x v="1"/>
    <x v="0"/>
    <x v="8"/>
    <n v="0"/>
    <x v="5"/>
    <x v="0"/>
    <x v="2"/>
    <x v="6"/>
    <n v="0"/>
    <s v="qui"/>
    <x v="1"/>
    <x v="1"/>
  </r>
  <r>
    <n v="248"/>
    <d v="2021-02-19T00:00:00"/>
    <x v="0"/>
    <x v="0"/>
    <x v="2"/>
    <x v="5"/>
    <n v="0"/>
    <x v="4"/>
    <x v="2"/>
    <x v="2"/>
    <x v="1"/>
    <n v="189"/>
    <s v="sex"/>
    <x v="1"/>
    <x v="1"/>
  </r>
  <r>
    <n v="249"/>
    <d v="2021-02-21T00:00:00"/>
    <x v="0"/>
    <x v="0"/>
    <x v="0"/>
    <x v="1"/>
    <n v="0"/>
    <x v="6"/>
    <x v="0"/>
    <x v="2"/>
    <x v="7"/>
    <n v="0"/>
    <s v="dom"/>
    <x v="1"/>
    <x v="1"/>
  </r>
  <r>
    <n v="250"/>
    <d v="2021-02-24T00:00:00"/>
    <x v="7"/>
    <x v="0"/>
    <x v="1"/>
    <x v="4"/>
    <n v="0"/>
    <x v="3"/>
    <x v="0"/>
    <x v="1"/>
    <x v="4"/>
    <n v="0"/>
    <s v="qua"/>
    <x v="1"/>
    <x v="1"/>
  </r>
  <r>
    <n v="251"/>
    <d v="2021-02-26T00:00:00"/>
    <x v="6"/>
    <x v="0"/>
    <x v="2"/>
    <x v="8"/>
    <n v="0"/>
    <x v="7"/>
    <x v="3"/>
    <x v="0"/>
    <x v="3"/>
    <n v="2801"/>
    <s v="sex"/>
    <x v="1"/>
    <x v="1"/>
  </r>
  <r>
    <n v="252"/>
    <d v="2021-02-28T00:00:00"/>
    <x v="7"/>
    <x v="0"/>
    <x v="2"/>
    <x v="8"/>
    <n v="0"/>
    <x v="0"/>
    <x v="0"/>
    <x v="1"/>
    <x v="4"/>
    <n v="0"/>
    <s v="dom"/>
    <x v="1"/>
    <x v="1"/>
  </r>
  <r>
    <n v="253"/>
    <d v="2021-03-01T00:00:00"/>
    <x v="6"/>
    <x v="0"/>
    <x v="3"/>
    <x v="4"/>
    <n v="0"/>
    <x v="8"/>
    <x v="0"/>
    <x v="0"/>
    <x v="4"/>
    <n v="0"/>
    <s v="seg"/>
    <x v="2"/>
    <x v="1"/>
  </r>
  <r>
    <n v="254"/>
    <d v="2021-03-02T00:00:00"/>
    <x v="8"/>
    <x v="0"/>
    <x v="2"/>
    <x v="7"/>
    <n v="0"/>
    <x v="6"/>
    <x v="0"/>
    <x v="1"/>
    <x v="7"/>
    <n v="0"/>
    <s v="ter"/>
    <x v="2"/>
    <x v="1"/>
  </r>
  <r>
    <n v="255"/>
    <d v="2021-03-04T00:00:00"/>
    <x v="0"/>
    <x v="0"/>
    <x v="0"/>
    <x v="8"/>
    <n v="0"/>
    <x v="5"/>
    <x v="2"/>
    <x v="1"/>
    <x v="5"/>
    <n v="382"/>
    <s v="qui"/>
    <x v="2"/>
    <x v="1"/>
  </r>
  <r>
    <n v="256"/>
    <d v="2021-03-05T00:00:00"/>
    <x v="7"/>
    <x v="0"/>
    <x v="0"/>
    <x v="2"/>
    <n v="1.5"/>
    <x v="5"/>
    <x v="1"/>
    <x v="1"/>
    <x v="3"/>
    <n v="1177"/>
    <s v="sex"/>
    <x v="2"/>
    <x v="1"/>
  </r>
  <r>
    <n v="257"/>
    <d v="2021-03-05T00:00:00"/>
    <x v="6"/>
    <x v="0"/>
    <x v="0"/>
    <x v="7"/>
    <n v="0"/>
    <x v="0"/>
    <x v="2"/>
    <x v="2"/>
    <x v="7"/>
    <n v="308"/>
    <s v="sex"/>
    <x v="2"/>
    <x v="1"/>
  </r>
  <r>
    <n v="258"/>
    <d v="2021-03-11T00:00:00"/>
    <x v="3"/>
    <x v="1"/>
    <x v="1"/>
    <x v="7"/>
    <n v="0"/>
    <x v="4"/>
    <x v="2"/>
    <x v="2"/>
    <x v="0"/>
    <n v="84"/>
    <s v="qui"/>
    <x v="2"/>
    <x v="1"/>
  </r>
  <r>
    <n v="259"/>
    <d v="2021-03-12T00:00:00"/>
    <x v="7"/>
    <x v="0"/>
    <x v="2"/>
    <x v="8"/>
    <n v="0"/>
    <x v="6"/>
    <x v="3"/>
    <x v="2"/>
    <x v="5"/>
    <n v="501"/>
    <s v="sex"/>
    <x v="2"/>
    <x v="1"/>
  </r>
  <r>
    <n v="260"/>
    <d v="2021-03-14T00:00:00"/>
    <x v="1"/>
    <x v="0"/>
    <x v="0"/>
    <x v="8"/>
    <n v="0"/>
    <x v="8"/>
    <x v="3"/>
    <x v="0"/>
    <x v="4"/>
    <n v="4587"/>
    <s v="dom"/>
    <x v="2"/>
    <x v="1"/>
  </r>
  <r>
    <n v="261"/>
    <d v="2021-03-14T00:00:00"/>
    <x v="4"/>
    <x v="0"/>
    <x v="0"/>
    <x v="6"/>
    <n v="0"/>
    <x v="2"/>
    <x v="0"/>
    <x v="1"/>
    <x v="0"/>
    <n v="0"/>
    <s v="dom"/>
    <x v="2"/>
    <x v="1"/>
  </r>
  <r>
    <n v="262"/>
    <d v="2021-03-15T00:00:00"/>
    <x v="6"/>
    <x v="0"/>
    <x v="2"/>
    <x v="1"/>
    <n v="0"/>
    <x v="8"/>
    <x v="3"/>
    <x v="2"/>
    <x v="3"/>
    <n v="3871"/>
    <s v="seg"/>
    <x v="2"/>
    <x v="1"/>
  </r>
  <r>
    <n v="263"/>
    <d v="2021-03-17T00:00:00"/>
    <x v="8"/>
    <x v="0"/>
    <x v="1"/>
    <x v="0"/>
    <n v="1.5"/>
    <x v="3"/>
    <x v="1"/>
    <x v="1"/>
    <x v="5"/>
    <n v="4781"/>
    <s v="qua"/>
    <x v="2"/>
    <x v="1"/>
  </r>
  <r>
    <n v="264"/>
    <d v="2021-03-17T00:00:00"/>
    <x v="5"/>
    <x v="1"/>
    <x v="0"/>
    <x v="0"/>
    <n v="5"/>
    <x v="0"/>
    <x v="1"/>
    <x v="0"/>
    <x v="5"/>
    <n v="4373"/>
    <s v="qua"/>
    <x v="2"/>
    <x v="1"/>
  </r>
  <r>
    <n v="265"/>
    <d v="2021-03-18T00:00:00"/>
    <x v="2"/>
    <x v="0"/>
    <x v="0"/>
    <x v="8"/>
    <n v="0.5"/>
    <x v="7"/>
    <x v="1"/>
    <x v="1"/>
    <x v="6"/>
    <n v="2854"/>
    <s v="qui"/>
    <x v="2"/>
    <x v="1"/>
  </r>
  <r>
    <n v="266"/>
    <d v="2021-03-19T00:00:00"/>
    <x v="5"/>
    <x v="1"/>
    <x v="0"/>
    <x v="7"/>
    <n v="0"/>
    <x v="1"/>
    <x v="2"/>
    <x v="1"/>
    <x v="8"/>
    <n v="217"/>
    <s v="sex"/>
    <x v="2"/>
    <x v="1"/>
  </r>
  <r>
    <n v="267"/>
    <d v="2021-03-22T00:00:00"/>
    <x v="3"/>
    <x v="0"/>
    <x v="3"/>
    <x v="0"/>
    <n v="0"/>
    <x v="6"/>
    <x v="3"/>
    <x v="2"/>
    <x v="8"/>
    <n v="804"/>
    <s v="seg"/>
    <x v="2"/>
    <x v="1"/>
  </r>
  <r>
    <n v="268"/>
    <d v="2021-03-23T00:00:00"/>
    <x v="5"/>
    <x v="0"/>
    <x v="3"/>
    <x v="4"/>
    <n v="0"/>
    <x v="8"/>
    <x v="3"/>
    <x v="1"/>
    <x v="7"/>
    <n v="668"/>
    <s v="ter"/>
    <x v="2"/>
    <x v="1"/>
  </r>
  <r>
    <n v="269"/>
    <d v="2021-03-31T00:00:00"/>
    <x v="4"/>
    <x v="0"/>
    <x v="1"/>
    <x v="3"/>
    <n v="0"/>
    <x v="6"/>
    <x v="0"/>
    <x v="0"/>
    <x v="2"/>
    <n v="0"/>
    <s v="qua"/>
    <x v="2"/>
    <x v="1"/>
  </r>
  <r>
    <n v="270"/>
    <d v="2021-03-31T00:00:00"/>
    <x v="2"/>
    <x v="1"/>
    <x v="2"/>
    <x v="1"/>
    <n v="5"/>
    <x v="3"/>
    <x v="1"/>
    <x v="2"/>
    <x v="8"/>
    <n v="1993"/>
    <s v="qua"/>
    <x v="2"/>
    <x v="1"/>
  </r>
  <r>
    <n v="271"/>
    <d v="2021-04-01T00:00:00"/>
    <x v="7"/>
    <x v="0"/>
    <x v="0"/>
    <x v="1"/>
    <n v="0"/>
    <x v="1"/>
    <x v="3"/>
    <x v="2"/>
    <x v="1"/>
    <n v="4836"/>
    <s v="qui"/>
    <x v="3"/>
    <x v="1"/>
  </r>
  <r>
    <n v="272"/>
    <d v="2021-04-01T00:00:00"/>
    <x v="2"/>
    <x v="0"/>
    <x v="0"/>
    <x v="5"/>
    <n v="0"/>
    <x v="8"/>
    <x v="0"/>
    <x v="0"/>
    <x v="6"/>
    <n v="0"/>
    <s v="qui"/>
    <x v="3"/>
    <x v="1"/>
  </r>
  <r>
    <n v="273"/>
    <d v="2021-04-02T00:00:00"/>
    <x v="7"/>
    <x v="1"/>
    <x v="0"/>
    <x v="8"/>
    <n v="0"/>
    <x v="3"/>
    <x v="2"/>
    <x v="2"/>
    <x v="2"/>
    <n v="342"/>
    <s v="sex"/>
    <x v="3"/>
    <x v="1"/>
  </r>
  <r>
    <n v="274"/>
    <d v="2021-04-06T00:00:00"/>
    <x v="1"/>
    <x v="0"/>
    <x v="3"/>
    <x v="7"/>
    <n v="5"/>
    <x v="8"/>
    <x v="1"/>
    <x v="0"/>
    <x v="1"/>
    <n v="2468"/>
    <s v="ter"/>
    <x v="3"/>
    <x v="1"/>
  </r>
  <r>
    <n v="275"/>
    <d v="2021-04-08T00:00:00"/>
    <x v="6"/>
    <x v="0"/>
    <x v="0"/>
    <x v="2"/>
    <n v="0"/>
    <x v="0"/>
    <x v="3"/>
    <x v="2"/>
    <x v="1"/>
    <n v="2990"/>
    <s v="qui"/>
    <x v="3"/>
    <x v="1"/>
  </r>
  <r>
    <n v="276"/>
    <d v="2021-04-09T00:00:00"/>
    <x v="1"/>
    <x v="0"/>
    <x v="3"/>
    <x v="4"/>
    <n v="0"/>
    <x v="6"/>
    <x v="3"/>
    <x v="0"/>
    <x v="3"/>
    <n v="4570"/>
    <s v="sex"/>
    <x v="3"/>
    <x v="1"/>
  </r>
  <r>
    <n v="277"/>
    <d v="2021-04-11T00:00:00"/>
    <x v="6"/>
    <x v="0"/>
    <x v="1"/>
    <x v="7"/>
    <n v="0"/>
    <x v="8"/>
    <x v="3"/>
    <x v="2"/>
    <x v="7"/>
    <n v="2022"/>
    <s v="dom"/>
    <x v="3"/>
    <x v="1"/>
  </r>
  <r>
    <n v="278"/>
    <d v="2021-04-13T00:00:00"/>
    <x v="2"/>
    <x v="0"/>
    <x v="3"/>
    <x v="1"/>
    <n v="4"/>
    <x v="2"/>
    <x v="1"/>
    <x v="1"/>
    <x v="8"/>
    <n v="2705"/>
    <s v="ter"/>
    <x v="3"/>
    <x v="1"/>
  </r>
  <r>
    <n v="279"/>
    <d v="2021-04-14T00:00:00"/>
    <x v="7"/>
    <x v="0"/>
    <x v="3"/>
    <x v="1"/>
    <n v="2.5"/>
    <x v="8"/>
    <x v="1"/>
    <x v="1"/>
    <x v="3"/>
    <n v="819"/>
    <s v="qua"/>
    <x v="3"/>
    <x v="1"/>
  </r>
  <r>
    <n v="280"/>
    <d v="2021-04-15T00:00:00"/>
    <x v="2"/>
    <x v="1"/>
    <x v="0"/>
    <x v="0"/>
    <n v="0"/>
    <x v="8"/>
    <x v="0"/>
    <x v="2"/>
    <x v="2"/>
    <n v="0"/>
    <s v="qui"/>
    <x v="3"/>
    <x v="1"/>
  </r>
  <r>
    <n v="281"/>
    <d v="2021-04-16T00:00:00"/>
    <x v="8"/>
    <x v="0"/>
    <x v="3"/>
    <x v="2"/>
    <n v="0"/>
    <x v="4"/>
    <x v="2"/>
    <x v="2"/>
    <x v="4"/>
    <n v="37"/>
    <s v="sex"/>
    <x v="3"/>
    <x v="1"/>
  </r>
  <r>
    <n v="282"/>
    <d v="2021-04-17T00:00:00"/>
    <x v="3"/>
    <x v="0"/>
    <x v="1"/>
    <x v="4"/>
    <n v="0"/>
    <x v="1"/>
    <x v="3"/>
    <x v="2"/>
    <x v="2"/>
    <n v="4741"/>
    <s v="sáb"/>
    <x v="3"/>
    <x v="1"/>
  </r>
  <r>
    <n v="283"/>
    <d v="2021-04-20T00:00:00"/>
    <x v="6"/>
    <x v="0"/>
    <x v="0"/>
    <x v="2"/>
    <n v="0"/>
    <x v="6"/>
    <x v="3"/>
    <x v="0"/>
    <x v="4"/>
    <n v="2063"/>
    <s v="ter"/>
    <x v="3"/>
    <x v="1"/>
  </r>
  <r>
    <n v="284"/>
    <d v="2021-04-20T00:00:00"/>
    <x v="1"/>
    <x v="0"/>
    <x v="3"/>
    <x v="5"/>
    <n v="0"/>
    <x v="0"/>
    <x v="2"/>
    <x v="0"/>
    <x v="0"/>
    <n v="359"/>
    <s v="ter"/>
    <x v="3"/>
    <x v="1"/>
  </r>
  <r>
    <n v="285"/>
    <d v="2021-04-21T00:00:00"/>
    <x v="0"/>
    <x v="0"/>
    <x v="1"/>
    <x v="3"/>
    <n v="5"/>
    <x v="7"/>
    <x v="1"/>
    <x v="0"/>
    <x v="8"/>
    <n v="1119"/>
    <s v="qua"/>
    <x v="3"/>
    <x v="1"/>
  </r>
  <r>
    <n v="286"/>
    <d v="2021-04-24T00:00:00"/>
    <x v="6"/>
    <x v="0"/>
    <x v="2"/>
    <x v="2"/>
    <n v="3"/>
    <x v="5"/>
    <x v="1"/>
    <x v="0"/>
    <x v="4"/>
    <n v="2851"/>
    <s v="sáb"/>
    <x v="3"/>
    <x v="1"/>
  </r>
  <r>
    <n v="287"/>
    <d v="2021-04-25T00:00:00"/>
    <x v="6"/>
    <x v="0"/>
    <x v="3"/>
    <x v="3"/>
    <n v="0"/>
    <x v="7"/>
    <x v="0"/>
    <x v="2"/>
    <x v="4"/>
    <n v="0"/>
    <s v="dom"/>
    <x v="3"/>
    <x v="1"/>
  </r>
  <r>
    <n v="288"/>
    <d v="2021-05-01T00:00:00"/>
    <x v="7"/>
    <x v="0"/>
    <x v="1"/>
    <x v="0"/>
    <n v="0"/>
    <x v="6"/>
    <x v="3"/>
    <x v="1"/>
    <x v="0"/>
    <n v="1872"/>
    <s v="sáb"/>
    <x v="4"/>
    <x v="1"/>
  </r>
  <r>
    <n v="289"/>
    <d v="2021-05-04T00:00:00"/>
    <x v="3"/>
    <x v="0"/>
    <x v="0"/>
    <x v="6"/>
    <n v="3"/>
    <x v="1"/>
    <x v="1"/>
    <x v="0"/>
    <x v="4"/>
    <n v="4303"/>
    <s v="ter"/>
    <x v="4"/>
    <x v="1"/>
  </r>
  <r>
    <n v="290"/>
    <d v="2021-05-06T00:00:00"/>
    <x v="0"/>
    <x v="0"/>
    <x v="0"/>
    <x v="0"/>
    <n v="0"/>
    <x v="0"/>
    <x v="3"/>
    <x v="1"/>
    <x v="8"/>
    <n v="1884"/>
    <s v="qui"/>
    <x v="4"/>
    <x v="1"/>
  </r>
  <r>
    <n v="291"/>
    <d v="2021-05-07T00:00:00"/>
    <x v="6"/>
    <x v="0"/>
    <x v="0"/>
    <x v="2"/>
    <n v="0.5"/>
    <x v="2"/>
    <x v="1"/>
    <x v="0"/>
    <x v="2"/>
    <n v="1084"/>
    <s v="sex"/>
    <x v="4"/>
    <x v="1"/>
  </r>
  <r>
    <n v="292"/>
    <d v="2021-05-08T00:00:00"/>
    <x v="7"/>
    <x v="0"/>
    <x v="1"/>
    <x v="3"/>
    <n v="0"/>
    <x v="3"/>
    <x v="0"/>
    <x v="0"/>
    <x v="3"/>
    <n v="0"/>
    <s v="sáb"/>
    <x v="4"/>
    <x v="1"/>
  </r>
  <r>
    <n v="293"/>
    <d v="2021-05-08T00:00:00"/>
    <x v="6"/>
    <x v="0"/>
    <x v="2"/>
    <x v="3"/>
    <n v="0"/>
    <x v="2"/>
    <x v="2"/>
    <x v="2"/>
    <x v="5"/>
    <n v="152"/>
    <s v="sáb"/>
    <x v="4"/>
    <x v="1"/>
  </r>
  <r>
    <n v="294"/>
    <d v="2021-05-10T00:00:00"/>
    <x v="6"/>
    <x v="0"/>
    <x v="0"/>
    <x v="2"/>
    <n v="0"/>
    <x v="7"/>
    <x v="0"/>
    <x v="1"/>
    <x v="8"/>
    <n v="0"/>
    <s v="seg"/>
    <x v="4"/>
    <x v="1"/>
  </r>
  <r>
    <n v="295"/>
    <d v="2021-05-12T00:00:00"/>
    <x v="0"/>
    <x v="0"/>
    <x v="0"/>
    <x v="1"/>
    <n v="0"/>
    <x v="3"/>
    <x v="0"/>
    <x v="1"/>
    <x v="4"/>
    <n v="0"/>
    <s v="qua"/>
    <x v="4"/>
    <x v="1"/>
  </r>
  <r>
    <n v="296"/>
    <d v="2021-05-19T00:00:00"/>
    <x v="5"/>
    <x v="1"/>
    <x v="2"/>
    <x v="7"/>
    <n v="0"/>
    <x v="7"/>
    <x v="3"/>
    <x v="1"/>
    <x v="6"/>
    <n v="3286"/>
    <s v="qua"/>
    <x v="4"/>
    <x v="1"/>
  </r>
  <r>
    <n v="297"/>
    <d v="2021-05-19T00:00:00"/>
    <x v="8"/>
    <x v="0"/>
    <x v="0"/>
    <x v="3"/>
    <n v="0"/>
    <x v="4"/>
    <x v="0"/>
    <x v="0"/>
    <x v="8"/>
    <n v="0"/>
    <s v="qua"/>
    <x v="4"/>
    <x v="1"/>
  </r>
  <r>
    <n v="298"/>
    <d v="2021-05-20T00:00:00"/>
    <x v="2"/>
    <x v="0"/>
    <x v="1"/>
    <x v="1"/>
    <n v="0"/>
    <x v="0"/>
    <x v="0"/>
    <x v="1"/>
    <x v="0"/>
    <n v="0"/>
    <s v="qui"/>
    <x v="4"/>
    <x v="1"/>
  </r>
  <r>
    <n v="299"/>
    <d v="2021-05-20T00:00:00"/>
    <x v="7"/>
    <x v="0"/>
    <x v="0"/>
    <x v="6"/>
    <n v="0"/>
    <x v="2"/>
    <x v="2"/>
    <x v="2"/>
    <x v="2"/>
    <n v="60"/>
    <s v="qui"/>
    <x v="4"/>
    <x v="1"/>
  </r>
  <r>
    <n v="300"/>
    <d v="2021-05-24T00:00:00"/>
    <x v="2"/>
    <x v="1"/>
    <x v="3"/>
    <x v="0"/>
    <n v="0"/>
    <x v="7"/>
    <x v="0"/>
    <x v="1"/>
    <x v="2"/>
    <n v="0"/>
    <s v="seg"/>
    <x v="4"/>
    <x v="1"/>
  </r>
  <r>
    <n v="301"/>
    <d v="2021-05-26T00:00:00"/>
    <x v="5"/>
    <x v="0"/>
    <x v="2"/>
    <x v="6"/>
    <n v="0"/>
    <x v="7"/>
    <x v="0"/>
    <x v="1"/>
    <x v="0"/>
    <n v="0"/>
    <s v="qua"/>
    <x v="4"/>
    <x v="1"/>
  </r>
  <r>
    <n v="302"/>
    <d v="2021-05-26T00:00:00"/>
    <x v="5"/>
    <x v="0"/>
    <x v="3"/>
    <x v="2"/>
    <n v="0"/>
    <x v="3"/>
    <x v="3"/>
    <x v="2"/>
    <x v="3"/>
    <n v="4213"/>
    <s v="qua"/>
    <x v="4"/>
    <x v="1"/>
  </r>
  <r>
    <n v="303"/>
    <d v="2021-05-29T00:00:00"/>
    <x v="4"/>
    <x v="0"/>
    <x v="0"/>
    <x v="5"/>
    <n v="1"/>
    <x v="0"/>
    <x v="1"/>
    <x v="1"/>
    <x v="7"/>
    <n v="3657"/>
    <s v="sáb"/>
    <x v="4"/>
    <x v="1"/>
  </r>
  <r>
    <n v="304"/>
    <d v="2021-05-30T00:00:00"/>
    <x v="5"/>
    <x v="0"/>
    <x v="1"/>
    <x v="1"/>
    <n v="0"/>
    <x v="4"/>
    <x v="2"/>
    <x v="1"/>
    <x v="8"/>
    <n v="442"/>
    <s v="dom"/>
    <x v="4"/>
    <x v="1"/>
  </r>
  <r>
    <n v="305"/>
    <d v="2021-06-01T00:00:00"/>
    <x v="7"/>
    <x v="0"/>
    <x v="3"/>
    <x v="2"/>
    <n v="0"/>
    <x v="2"/>
    <x v="0"/>
    <x v="0"/>
    <x v="3"/>
    <n v="0"/>
    <s v="ter"/>
    <x v="5"/>
    <x v="1"/>
  </r>
  <r>
    <n v="306"/>
    <d v="2021-06-01T00:00:00"/>
    <x v="4"/>
    <x v="0"/>
    <x v="0"/>
    <x v="1"/>
    <n v="0"/>
    <x v="3"/>
    <x v="0"/>
    <x v="0"/>
    <x v="1"/>
    <n v="0"/>
    <s v="ter"/>
    <x v="5"/>
    <x v="1"/>
  </r>
  <r>
    <n v="307"/>
    <d v="2021-06-02T00:00:00"/>
    <x v="6"/>
    <x v="0"/>
    <x v="0"/>
    <x v="6"/>
    <n v="0"/>
    <x v="5"/>
    <x v="3"/>
    <x v="2"/>
    <x v="8"/>
    <n v="882"/>
    <s v="qua"/>
    <x v="5"/>
    <x v="1"/>
  </r>
  <r>
    <n v="308"/>
    <d v="2021-06-02T00:00:00"/>
    <x v="5"/>
    <x v="0"/>
    <x v="0"/>
    <x v="4"/>
    <n v="0"/>
    <x v="4"/>
    <x v="0"/>
    <x v="1"/>
    <x v="4"/>
    <n v="0"/>
    <s v="qua"/>
    <x v="5"/>
    <x v="1"/>
  </r>
  <r>
    <n v="309"/>
    <d v="2021-06-03T00:00:00"/>
    <x v="8"/>
    <x v="1"/>
    <x v="2"/>
    <x v="1"/>
    <n v="3"/>
    <x v="4"/>
    <x v="1"/>
    <x v="1"/>
    <x v="3"/>
    <n v="498"/>
    <s v="qui"/>
    <x v="5"/>
    <x v="1"/>
  </r>
  <r>
    <n v="310"/>
    <d v="2021-06-03T00:00:00"/>
    <x v="0"/>
    <x v="0"/>
    <x v="3"/>
    <x v="7"/>
    <n v="4.5"/>
    <x v="6"/>
    <x v="1"/>
    <x v="1"/>
    <x v="0"/>
    <n v="3170"/>
    <s v="qui"/>
    <x v="5"/>
    <x v="1"/>
  </r>
  <r>
    <n v="311"/>
    <d v="2021-06-06T00:00:00"/>
    <x v="3"/>
    <x v="0"/>
    <x v="0"/>
    <x v="0"/>
    <n v="0"/>
    <x v="5"/>
    <x v="3"/>
    <x v="0"/>
    <x v="0"/>
    <n v="4260"/>
    <s v="dom"/>
    <x v="5"/>
    <x v="1"/>
  </r>
  <r>
    <n v="312"/>
    <d v="2021-06-07T00:00:00"/>
    <x v="2"/>
    <x v="0"/>
    <x v="3"/>
    <x v="6"/>
    <n v="0"/>
    <x v="8"/>
    <x v="2"/>
    <x v="0"/>
    <x v="6"/>
    <n v="107"/>
    <s v="seg"/>
    <x v="5"/>
    <x v="1"/>
  </r>
  <r>
    <n v="313"/>
    <d v="2021-06-08T00:00:00"/>
    <x v="6"/>
    <x v="0"/>
    <x v="2"/>
    <x v="3"/>
    <n v="0"/>
    <x v="1"/>
    <x v="0"/>
    <x v="1"/>
    <x v="7"/>
    <n v="0"/>
    <s v="ter"/>
    <x v="5"/>
    <x v="1"/>
  </r>
  <r>
    <n v="314"/>
    <d v="2021-06-08T00:00:00"/>
    <x v="1"/>
    <x v="0"/>
    <x v="3"/>
    <x v="7"/>
    <n v="0"/>
    <x v="6"/>
    <x v="2"/>
    <x v="2"/>
    <x v="0"/>
    <n v="152"/>
    <s v="ter"/>
    <x v="5"/>
    <x v="1"/>
  </r>
  <r>
    <n v="315"/>
    <d v="2021-06-12T00:00:00"/>
    <x v="7"/>
    <x v="0"/>
    <x v="1"/>
    <x v="0"/>
    <n v="4.5"/>
    <x v="6"/>
    <x v="1"/>
    <x v="2"/>
    <x v="4"/>
    <n v="2651"/>
    <s v="sáb"/>
    <x v="5"/>
    <x v="1"/>
  </r>
  <r>
    <n v="316"/>
    <d v="2021-06-12T00:00:00"/>
    <x v="2"/>
    <x v="0"/>
    <x v="2"/>
    <x v="2"/>
    <n v="0"/>
    <x v="6"/>
    <x v="2"/>
    <x v="1"/>
    <x v="8"/>
    <n v="491"/>
    <s v="sáb"/>
    <x v="5"/>
    <x v="1"/>
  </r>
  <r>
    <n v="317"/>
    <d v="2021-06-13T00:00:00"/>
    <x v="7"/>
    <x v="0"/>
    <x v="3"/>
    <x v="1"/>
    <n v="0"/>
    <x v="6"/>
    <x v="0"/>
    <x v="1"/>
    <x v="5"/>
    <n v="0"/>
    <s v="dom"/>
    <x v="5"/>
    <x v="1"/>
  </r>
  <r>
    <n v="318"/>
    <d v="2021-06-15T00:00:00"/>
    <x v="7"/>
    <x v="0"/>
    <x v="2"/>
    <x v="6"/>
    <n v="2"/>
    <x v="4"/>
    <x v="1"/>
    <x v="2"/>
    <x v="2"/>
    <n v="674"/>
    <s v="ter"/>
    <x v="5"/>
    <x v="1"/>
  </r>
  <r>
    <n v="319"/>
    <d v="2021-06-17T00:00:00"/>
    <x v="8"/>
    <x v="0"/>
    <x v="2"/>
    <x v="0"/>
    <n v="0"/>
    <x v="6"/>
    <x v="3"/>
    <x v="2"/>
    <x v="8"/>
    <n v="718"/>
    <s v="qui"/>
    <x v="5"/>
    <x v="1"/>
  </r>
  <r>
    <n v="320"/>
    <d v="2021-06-18T00:00:00"/>
    <x v="2"/>
    <x v="0"/>
    <x v="1"/>
    <x v="2"/>
    <n v="1.5"/>
    <x v="6"/>
    <x v="1"/>
    <x v="1"/>
    <x v="5"/>
    <n v="1698"/>
    <s v="sex"/>
    <x v="5"/>
    <x v="1"/>
  </r>
  <r>
    <n v="321"/>
    <d v="2021-06-18T00:00:00"/>
    <x v="0"/>
    <x v="0"/>
    <x v="0"/>
    <x v="0"/>
    <n v="0"/>
    <x v="7"/>
    <x v="3"/>
    <x v="0"/>
    <x v="0"/>
    <n v="4664"/>
    <s v="sex"/>
    <x v="5"/>
    <x v="1"/>
  </r>
  <r>
    <n v="322"/>
    <d v="2021-06-18T00:00:00"/>
    <x v="7"/>
    <x v="0"/>
    <x v="0"/>
    <x v="5"/>
    <n v="4.5"/>
    <x v="5"/>
    <x v="1"/>
    <x v="2"/>
    <x v="3"/>
    <n v="1694"/>
    <s v="sex"/>
    <x v="5"/>
    <x v="1"/>
  </r>
  <r>
    <n v="323"/>
    <d v="2021-06-19T00:00:00"/>
    <x v="6"/>
    <x v="0"/>
    <x v="3"/>
    <x v="4"/>
    <n v="0"/>
    <x v="2"/>
    <x v="3"/>
    <x v="2"/>
    <x v="5"/>
    <n v="522"/>
    <s v="sáb"/>
    <x v="5"/>
    <x v="1"/>
  </r>
  <r>
    <n v="324"/>
    <d v="2021-06-21T00:00:00"/>
    <x v="3"/>
    <x v="0"/>
    <x v="1"/>
    <x v="3"/>
    <n v="0"/>
    <x v="2"/>
    <x v="3"/>
    <x v="0"/>
    <x v="7"/>
    <n v="3221"/>
    <s v="seg"/>
    <x v="5"/>
    <x v="1"/>
  </r>
  <r>
    <n v="325"/>
    <d v="2021-06-23T00:00:00"/>
    <x v="6"/>
    <x v="0"/>
    <x v="2"/>
    <x v="4"/>
    <n v="0"/>
    <x v="2"/>
    <x v="0"/>
    <x v="0"/>
    <x v="0"/>
    <n v="0"/>
    <s v="qua"/>
    <x v="5"/>
    <x v="1"/>
  </r>
  <r>
    <n v="326"/>
    <d v="2021-06-25T00:00:00"/>
    <x v="8"/>
    <x v="0"/>
    <x v="3"/>
    <x v="0"/>
    <n v="0"/>
    <x v="1"/>
    <x v="0"/>
    <x v="0"/>
    <x v="0"/>
    <n v="0"/>
    <s v="sex"/>
    <x v="5"/>
    <x v="1"/>
  </r>
  <r>
    <n v="327"/>
    <d v="2021-06-26T00:00:00"/>
    <x v="2"/>
    <x v="0"/>
    <x v="2"/>
    <x v="6"/>
    <n v="0"/>
    <x v="2"/>
    <x v="2"/>
    <x v="2"/>
    <x v="7"/>
    <n v="383"/>
    <s v="sáb"/>
    <x v="5"/>
    <x v="1"/>
  </r>
  <r>
    <n v="328"/>
    <d v="2021-06-27T00:00:00"/>
    <x v="2"/>
    <x v="0"/>
    <x v="0"/>
    <x v="3"/>
    <n v="4.5"/>
    <x v="2"/>
    <x v="1"/>
    <x v="0"/>
    <x v="6"/>
    <n v="3588"/>
    <s v="dom"/>
    <x v="5"/>
    <x v="1"/>
  </r>
  <r>
    <n v="329"/>
    <d v="2021-06-28T00:00:00"/>
    <x v="2"/>
    <x v="0"/>
    <x v="1"/>
    <x v="1"/>
    <n v="0"/>
    <x v="3"/>
    <x v="2"/>
    <x v="0"/>
    <x v="1"/>
    <n v="119"/>
    <s v="seg"/>
    <x v="5"/>
    <x v="1"/>
  </r>
  <r>
    <n v="330"/>
    <d v="2021-06-29T00:00:00"/>
    <x v="6"/>
    <x v="0"/>
    <x v="0"/>
    <x v="4"/>
    <n v="0"/>
    <x v="0"/>
    <x v="0"/>
    <x v="0"/>
    <x v="0"/>
    <n v="0"/>
    <s v="ter"/>
    <x v="5"/>
    <x v="1"/>
  </r>
  <r>
    <n v="331"/>
    <d v="2021-07-04T00:00:00"/>
    <x v="7"/>
    <x v="0"/>
    <x v="0"/>
    <x v="3"/>
    <n v="0"/>
    <x v="8"/>
    <x v="2"/>
    <x v="2"/>
    <x v="2"/>
    <n v="88"/>
    <s v="dom"/>
    <x v="6"/>
    <x v="1"/>
  </r>
  <r>
    <n v="332"/>
    <d v="2021-07-06T00:00:00"/>
    <x v="2"/>
    <x v="0"/>
    <x v="2"/>
    <x v="6"/>
    <n v="0"/>
    <x v="1"/>
    <x v="2"/>
    <x v="0"/>
    <x v="5"/>
    <n v="373"/>
    <s v="ter"/>
    <x v="6"/>
    <x v="1"/>
  </r>
  <r>
    <n v="333"/>
    <d v="2021-07-07T00:00:00"/>
    <x v="2"/>
    <x v="0"/>
    <x v="1"/>
    <x v="4"/>
    <n v="0"/>
    <x v="8"/>
    <x v="3"/>
    <x v="0"/>
    <x v="6"/>
    <n v="4905"/>
    <s v="qua"/>
    <x v="6"/>
    <x v="1"/>
  </r>
  <r>
    <n v="334"/>
    <d v="2021-07-08T00:00:00"/>
    <x v="8"/>
    <x v="0"/>
    <x v="3"/>
    <x v="5"/>
    <n v="4.5"/>
    <x v="3"/>
    <x v="1"/>
    <x v="1"/>
    <x v="5"/>
    <n v="738"/>
    <s v="qui"/>
    <x v="6"/>
    <x v="1"/>
  </r>
  <r>
    <n v="335"/>
    <d v="2021-07-08T00:00:00"/>
    <x v="7"/>
    <x v="0"/>
    <x v="0"/>
    <x v="6"/>
    <n v="0"/>
    <x v="7"/>
    <x v="3"/>
    <x v="0"/>
    <x v="0"/>
    <n v="2450"/>
    <s v="qui"/>
    <x v="6"/>
    <x v="1"/>
  </r>
  <r>
    <n v="336"/>
    <d v="2021-07-11T00:00:00"/>
    <x v="0"/>
    <x v="0"/>
    <x v="0"/>
    <x v="0"/>
    <n v="0"/>
    <x v="5"/>
    <x v="2"/>
    <x v="2"/>
    <x v="5"/>
    <n v="321"/>
    <s v="dom"/>
    <x v="6"/>
    <x v="1"/>
  </r>
  <r>
    <n v="337"/>
    <d v="2021-07-12T00:00:00"/>
    <x v="8"/>
    <x v="0"/>
    <x v="2"/>
    <x v="0"/>
    <n v="0"/>
    <x v="2"/>
    <x v="0"/>
    <x v="0"/>
    <x v="0"/>
    <n v="0"/>
    <s v="seg"/>
    <x v="6"/>
    <x v="1"/>
  </r>
  <r>
    <n v="338"/>
    <d v="2021-07-13T00:00:00"/>
    <x v="7"/>
    <x v="0"/>
    <x v="1"/>
    <x v="1"/>
    <n v="3.5"/>
    <x v="4"/>
    <x v="1"/>
    <x v="2"/>
    <x v="7"/>
    <n v="2466"/>
    <s v="ter"/>
    <x v="6"/>
    <x v="1"/>
  </r>
  <r>
    <n v="339"/>
    <d v="2021-07-19T00:00:00"/>
    <x v="5"/>
    <x v="0"/>
    <x v="3"/>
    <x v="3"/>
    <n v="0"/>
    <x v="7"/>
    <x v="0"/>
    <x v="1"/>
    <x v="2"/>
    <n v="0"/>
    <s v="seg"/>
    <x v="6"/>
    <x v="1"/>
  </r>
  <r>
    <n v="340"/>
    <d v="2021-07-20T00:00:00"/>
    <x v="7"/>
    <x v="0"/>
    <x v="2"/>
    <x v="5"/>
    <n v="0"/>
    <x v="7"/>
    <x v="3"/>
    <x v="2"/>
    <x v="8"/>
    <n v="2514"/>
    <s v="ter"/>
    <x v="6"/>
    <x v="1"/>
  </r>
  <r>
    <n v="341"/>
    <d v="2021-07-21T00:00:00"/>
    <x v="6"/>
    <x v="0"/>
    <x v="3"/>
    <x v="5"/>
    <n v="1"/>
    <x v="0"/>
    <x v="1"/>
    <x v="0"/>
    <x v="2"/>
    <n v="3959"/>
    <s v="qua"/>
    <x v="6"/>
    <x v="1"/>
  </r>
  <r>
    <n v="342"/>
    <d v="2021-07-22T00:00:00"/>
    <x v="0"/>
    <x v="0"/>
    <x v="0"/>
    <x v="6"/>
    <n v="0"/>
    <x v="3"/>
    <x v="3"/>
    <x v="1"/>
    <x v="8"/>
    <n v="4530"/>
    <s v="qui"/>
    <x v="6"/>
    <x v="1"/>
  </r>
  <r>
    <n v="343"/>
    <d v="2021-07-25T00:00:00"/>
    <x v="6"/>
    <x v="0"/>
    <x v="0"/>
    <x v="7"/>
    <n v="1.5"/>
    <x v="1"/>
    <x v="1"/>
    <x v="0"/>
    <x v="3"/>
    <n v="1241"/>
    <s v="dom"/>
    <x v="6"/>
    <x v="1"/>
  </r>
  <r>
    <n v="344"/>
    <d v="2021-07-25T00:00:00"/>
    <x v="2"/>
    <x v="0"/>
    <x v="0"/>
    <x v="4"/>
    <n v="1"/>
    <x v="3"/>
    <x v="1"/>
    <x v="2"/>
    <x v="1"/>
    <n v="1301"/>
    <s v="dom"/>
    <x v="6"/>
    <x v="1"/>
  </r>
  <r>
    <n v="345"/>
    <d v="2021-07-31T00:00:00"/>
    <x v="8"/>
    <x v="0"/>
    <x v="1"/>
    <x v="7"/>
    <n v="0"/>
    <x v="2"/>
    <x v="2"/>
    <x v="0"/>
    <x v="3"/>
    <n v="140"/>
    <s v="sáb"/>
    <x v="6"/>
    <x v="1"/>
  </r>
  <r>
    <n v="346"/>
    <d v="2021-08-02T00:00:00"/>
    <x v="6"/>
    <x v="0"/>
    <x v="0"/>
    <x v="1"/>
    <n v="0"/>
    <x v="7"/>
    <x v="3"/>
    <x v="0"/>
    <x v="5"/>
    <n v="634"/>
    <s v="seg"/>
    <x v="7"/>
    <x v="1"/>
  </r>
  <r>
    <n v="347"/>
    <d v="2021-08-03T00:00:00"/>
    <x v="8"/>
    <x v="0"/>
    <x v="0"/>
    <x v="8"/>
    <n v="0"/>
    <x v="7"/>
    <x v="3"/>
    <x v="1"/>
    <x v="7"/>
    <n v="3204"/>
    <s v="ter"/>
    <x v="7"/>
    <x v="1"/>
  </r>
  <r>
    <n v="348"/>
    <d v="2021-08-07T00:00:00"/>
    <x v="6"/>
    <x v="0"/>
    <x v="1"/>
    <x v="3"/>
    <n v="0"/>
    <x v="4"/>
    <x v="2"/>
    <x v="1"/>
    <x v="8"/>
    <n v="453"/>
    <s v="sáb"/>
    <x v="7"/>
    <x v="1"/>
  </r>
  <r>
    <n v="349"/>
    <d v="2021-08-07T00:00:00"/>
    <x v="4"/>
    <x v="0"/>
    <x v="0"/>
    <x v="3"/>
    <n v="3"/>
    <x v="3"/>
    <x v="1"/>
    <x v="1"/>
    <x v="1"/>
    <n v="2937"/>
    <s v="sáb"/>
    <x v="7"/>
    <x v="1"/>
  </r>
  <r>
    <n v="350"/>
    <d v="2021-08-10T00:00:00"/>
    <x v="1"/>
    <x v="0"/>
    <x v="3"/>
    <x v="2"/>
    <n v="0"/>
    <x v="5"/>
    <x v="0"/>
    <x v="0"/>
    <x v="2"/>
    <n v="0"/>
    <s v="ter"/>
    <x v="7"/>
    <x v="1"/>
  </r>
  <r>
    <n v="351"/>
    <d v="2021-08-12T00:00:00"/>
    <x v="7"/>
    <x v="0"/>
    <x v="2"/>
    <x v="3"/>
    <n v="0"/>
    <x v="3"/>
    <x v="0"/>
    <x v="2"/>
    <x v="1"/>
    <n v="0"/>
    <s v="qui"/>
    <x v="7"/>
    <x v="1"/>
  </r>
  <r>
    <n v="352"/>
    <d v="2021-08-13T00:00:00"/>
    <x v="8"/>
    <x v="0"/>
    <x v="2"/>
    <x v="7"/>
    <n v="0"/>
    <x v="3"/>
    <x v="2"/>
    <x v="1"/>
    <x v="3"/>
    <n v="53"/>
    <s v="sex"/>
    <x v="7"/>
    <x v="1"/>
  </r>
  <r>
    <n v="353"/>
    <d v="2021-08-16T00:00:00"/>
    <x v="6"/>
    <x v="0"/>
    <x v="1"/>
    <x v="1"/>
    <n v="2"/>
    <x v="5"/>
    <x v="1"/>
    <x v="0"/>
    <x v="3"/>
    <n v="4160"/>
    <s v="seg"/>
    <x v="7"/>
    <x v="1"/>
  </r>
  <r>
    <n v="354"/>
    <d v="2021-08-18T00:00:00"/>
    <x v="7"/>
    <x v="0"/>
    <x v="1"/>
    <x v="2"/>
    <n v="4.5"/>
    <x v="2"/>
    <x v="1"/>
    <x v="2"/>
    <x v="6"/>
    <n v="2988"/>
    <s v="qua"/>
    <x v="7"/>
    <x v="1"/>
  </r>
  <r>
    <n v="355"/>
    <d v="2021-08-19T00:00:00"/>
    <x v="2"/>
    <x v="1"/>
    <x v="2"/>
    <x v="8"/>
    <n v="0"/>
    <x v="6"/>
    <x v="0"/>
    <x v="0"/>
    <x v="0"/>
    <n v="0"/>
    <s v="qui"/>
    <x v="7"/>
    <x v="1"/>
  </r>
  <r>
    <n v="356"/>
    <d v="2021-08-21T00:00:00"/>
    <x v="8"/>
    <x v="0"/>
    <x v="0"/>
    <x v="5"/>
    <n v="3.5"/>
    <x v="1"/>
    <x v="1"/>
    <x v="1"/>
    <x v="0"/>
    <n v="1155"/>
    <s v="sáb"/>
    <x v="7"/>
    <x v="1"/>
  </r>
  <r>
    <n v="357"/>
    <d v="2021-08-22T00:00:00"/>
    <x v="3"/>
    <x v="0"/>
    <x v="0"/>
    <x v="6"/>
    <n v="0"/>
    <x v="3"/>
    <x v="0"/>
    <x v="2"/>
    <x v="8"/>
    <n v="0"/>
    <s v="dom"/>
    <x v="7"/>
    <x v="1"/>
  </r>
  <r>
    <n v="358"/>
    <d v="2021-08-22T00:00:00"/>
    <x v="7"/>
    <x v="0"/>
    <x v="3"/>
    <x v="1"/>
    <n v="2"/>
    <x v="8"/>
    <x v="1"/>
    <x v="0"/>
    <x v="3"/>
    <n v="1902"/>
    <s v="dom"/>
    <x v="7"/>
    <x v="1"/>
  </r>
  <r>
    <n v="359"/>
    <d v="2021-08-22T00:00:00"/>
    <x v="6"/>
    <x v="0"/>
    <x v="1"/>
    <x v="1"/>
    <n v="0"/>
    <x v="8"/>
    <x v="0"/>
    <x v="1"/>
    <x v="5"/>
    <n v="0"/>
    <s v="dom"/>
    <x v="7"/>
    <x v="1"/>
  </r>
  <r>
    <n v="360"/>
    <d v="2021-08-23T00:00:00"/>
    <x v="2"/>
    <x v="0"/>
    <x v="0"/>
    <x v="0"/>
    <n v="2.5"/>
    <x v="2"/>
    <x v="1"/>
    <x v="0"/>
    <x v="3"/>
    <n v="3817"/>
    <s v="seg"/>
    <x v="7"/>
    <x v="1"/>
  </r>
  <r>
    <n v="361"/>
    <d v="2021-08-24T00:00:00"/>
    <x v="2"/>
    <x v="1"/>
    <x v="1"/>
    <x v="0"/>
    <n v="0"/>
    <x v="6"/>
    <x v="0"/>
    <x v="1"/>
    <x v="5"/>
    <n v="0"/>
    <s v="ter"/>
    <x v="7"/>
    <x v="1"/>
  </r>
  <r>
    <n v="362"/>
    <d v="2021-08-29T00:00:00"/>
    <x v="0"/>
    <x v="0"/>
    <x v="0"/>
    <x v="4"/>
    <n v="0"/>
    <x v="2"/>
    <x v="0"/>
    <x v="1"/>
    <x v="8"/>
    <n v="0"/>
    <s v="dom"/>
    <x v="7"/>
    <x v="1"/>
  </r>
  <r>
    <n v="363"/>
    <d v="2021-08-29T00:00:00"/>
    <x v="0"/>
    <x v="0"/>
    <x v="1"/>
    <x v="7"/>
    <n v="0"/>
    <x v="8"/>
    <x v="2"/>
    <x v="1"/>
    <x v="7"/>
    <n v="302"/>
    <s v="dom"/>
    <x v="7"/>
    <x v="1"/>
  </r>
  <r>
    <n v="364"/>
    <d v="2021-09-01T00:00:00"/>
    <x v="6"/>
    <x v="0"/>
    <x v="2"/>
    <x v="2"/>
    <n v="0"/>
    <x v="3"/>
    <x v="2"/>
    <x v="0"/>
    <x v="3"/>
    <n v="95"/>
    <s v="qua"/>
    <x v="8"/>
    <x v="1"/>
  </r>
  <r>
    <n v="365"/>
    <d v="2021-09-03T00:00:00"/>
    <x v="2"/>
    <x v="0"/>
    <x v="0"/>
    <x v="2"/>
    <n v="0"/>
    <x v="2"/>
    <x v="3"/>
    <x v="1"/>
    <x v="6"/>
    <n v="4834"/>
    <s v="sex"/>
    <x v="8"/>
    <x v="1"/>
  </r>
  <r>
    <n v="366"/>
    <d v="2021-09-03T00:00:00"/>
    <x v="0"/>
    <x v="0"/>
    <x v="0"/>
    <x v="3"/>
    <n v="0"/>
    <x v="0"/>
    <x v="0"/>
    <x v="0"/>
    <x v="1"/>
    <n v="0"/>
    <s v="sex"/>
    <x v="8"/>
    <x v="1"/>
  </r>
  <r>
    <n v="367"/>
    <d v="2021-09-06T00:00:00"/>
    <x v="3"/>
    <x v="1"/>
    <x v="3"/>
    <x v="3"/>
    <n v="0"/>
    <x v="6"/>
    <x v="3"/>
    <x v="0"/>
    <x v="7"/>
    <n v="1433"/>
    <s v="seg"/>
    <x v="8"/>
    <x v="1"/>
  </r>
  <r>
    <n v="368"/>
    <d v="2021-09-10T00:00:00"/>
    <x v="5"/>
    <x v="0"/>
    <x v="1"/>
    <x v="3"/>
    <n v="0"/>
    <x v="8"/>
    <x v="0"/>
    <x v="0"/>
    <x v="5"/>
    <n v="0"/>
    <s v="sex"/>
    <x v="8"/>
    <x v="1"/>
  </r>
  <r>
    <n v="369"/>
    <d v="2021-09-11T00:00:00"/>
    <x v="7"/>
    <x v="0"/>
    <x v="1"/>
    <x v="0"/>
    <n v="0"/>
    <x v="7"/>
    <x v="2"/>
    <x v="1"/>
    <x v="7"/>
    <n v="159"/>
    <s v="sáb"/>
    <x v="8"/>
    <x v="1"/>
  </r>
  <r>
    <n v="370"/>
    <d v="2021-09-15T00:00:00"/>
    <x v="2"/>
    <x v="0"/>
    <x v="2"/>
    <x v="7"/>
    <n v="0"/>
    <x v="8"/>
    <x v="0"/>
    <x v="2"/>
    <x v="3"/>
    <n v="0"/>
    <s v="qua"/>
    <x v="8"/>
    <x v="1"/>
  </r>
  <r>
    <n v="371"/>
    <d v="2021-09-17T00:00:00"/>
    <x v="3"/>
    <x v="0"/>
    <x v="3"/>
    <x v="5"/>
    <n v="4"/>
    <x v="2"/>
    <x v="1"/>
    <x v="2"/>
    <x v="4"/>
    <n v="4771"/>
    <s v="sex"/>
    <x v="8"/>
    <x v="1"/>
  </r>
  <r>
    <n v="372"/>
    <d v="2021-09-18T00:00:00"/>
    <x v="7"/>
    <x v="0"/>
    <x v="2"/>
    <x v="8"/>
    <n v="3.5"/>
    <x v="2"/>
    <x v="1"/>
    <x v="0"/>
    <x v="6"/>
    <n v="3378"/>
    <s v="sáb"/>
    <x v="8"/>
    <x v="1"/>
  </r>
  <r>
    <n v="373"/>
    <d v="2021-09-19T00:00:00"/>
    <x v="2"/>
    <x v="0"/>
    <x v="2"/>
    <x v="4"/>
    <n v="0"/>
    <x v="2"/>
    <x v="3"/>
    <x v="0"/>
    <x v="6"/>
    <n v="3713"/>
    <s v="dom"/>
    <x v="8"/>
    <x v="1"/>
  </r>
  <r>
    <n v="374"/>
    <d v="2021-09-20T00:00:00"/>
    <x v="8"/>
    <x v="0"/>
    <x v="0"/>
    <x v="3"/>
    <n v="0"/>
    <x v="5"/>
    <x v="0"/>
    <x v="2"/>
    <x v="6"/>
    <n v="0"/>
    <s v="seg"/>
    <x v="8"/>
    <x v="1"/>
  </r>
  <r>
    <n v="375"/>
    <d v="2021-09-24T00:00:00"/>
    <x v="8"/>
    <x v="0"/>
    <x v="3"/>
    <x v="2"/>
    <n v="0"/>
    <x v="6"/>
    <x v="3"/>
    <x v="0"/>
    <x v="6"/>
    <n v="4994"/>
    <s v="sex"/>
    <x v="8"/>
    <x v="1"/>
  </r>
  <r>
    <n v="376"/>
    <d v="2021-09-28T00:00:00"/>
    <x v="6"/>
    <x v="1"/>
    <x v="3"/>
    <x v="2"/>
    <n v="0"/>
    <x v="4"/>
    <x v="2"/>
    <x v="2"/>
    <x v="4"/>
    <n v="238"/>
    <s v="ter"/>
    <x v="8"/>
    <x v="1"/>
  </r>
  <r>
    <n v="377"/>
    <d v="2021-09-29T00:00:00"/>
    <x v="3"/>
    <x v="0"/>
    <x v="1"/>
    <x v="1"/>
    <n v="0"/>
    <x v="2"/>
    <x v="2"/>
    <x v="1"/>
    <x v="4"/>
    <n v="209"/>
    <s v="qua"/>
    <x v="8"/>
    <x v="1"/>
  </r>
  <r>
    <n v="378"/>
    <d v="2021-10-01T00:00:00"/>
    <x v="7"/>
    <x v="0"/>
    <x v="0"/>
    <x v="3"/>
    <n v="0"/>
    <x v="1"/>
    <x v="3"/>
    <x v="1"/>
    <x v="0"/>
    <n v="2120"/>
    <s v="sex"/>
    <x v="9"/>
    <x v="1"/>
  </r>
  <r>
    <n v="379"/>
    <d v="2021-10-01T00:00:00"/>
    <x v="0"/>
    <x v="1"/>
    <x v="0"/>
    <x v="1"/>
    <n v="0"/>
    <x v="7"/>
    <x v="0"/>
    <x v="1"/>
    <x v="0"/>
    <n v="0"/>
    <s v="sex"/>
    <x v="9"/>
    <x v="1"/>
  </r>
  <r>
    <n v="380"/>
    <d v="2021-10-05T00:00:00"/>
    <x v="5"/>
    <x v="0"/>
    <x v="0"/>
    <x v="1"/>
    <n v="1"/>
    <x v="5"/>
    <x v="1"/>
    <x v="0"/>
    <x v="1"/>
    <n v="2245"/>
    <s v="ter"/>
    <x v="9"/>
    <x v="1"/>
  </r>
  <r>
    <n v="381"/>
    <d v="2021-10-10T00:00:00"/>
    <x v="2"/>
    <x v="0"/>
    <x v="2"/>
    <x v="5"/>
    <n v="0"/>
    <x v="4"/>
    <x v="2"/>
    <x v="1"/>
    <x v="4"/>
    <n v="118"/>
    <s v="dom"/>
    <x v="9"/>
    <x v="1"/>
  </r>
  <r>
    <n v="382"/>
    <d v="2021-10-13T00:00:00"/>
    <x v="5"/>
    <x v="0"/>
    <x v="2"/>
    <x v="3"/>
    <n v="0"/>
    <x v="5"/>
    <x v="3"/>
    <x v="1"/>
    <x v="8"/>
    <n v="534"/>
    <s v="qua"/>
    <x v="9"/>
    <x v="1"/>
  </r>
  <r>
    <n v="383"/>
    <d v="2021-10-14T00:00:00"/>
    <x v="6"/>
    <x v="0"/>
    <x v="1"/>
    <x v="4"/>
    <n v="0"/>
    <x v="7"/>
    <x v="0"/>
    <x v="1"/>
    <x v="8"/>
    <n v="0"/>
    <s v="qui"/>
    <x v="9"/>
    <x v="1"/>
  </r>
  <r>
    <n v="384"/>
    <d v="2021-10-14T00:00:00"/>
    <x v="0"/>
    <x v="0"/>
    <x v="0"/>
    <x v="5"/>
    <n v="0"/>
    <x v="6"/>
    <x v="2"/>
    <x v="0"/>
    <x v="8"/>
    <n v="420"/>
    <s v="qui"/>
    <x v="9"/>
    <x v="1"/>
  </r>
  <r>
    <n v="385"/>
    <d v="2021-10-15T00:00:00"/>
    <x v="1"/>
    <x v="1"/>
    <x v="3"/>
    <x v="7"/>
    <n v="4"/>
    <x v="6"/>
    <x v="1"/>
    <x v="1"/>
    <x v="0"/>
    <n v="2622"/>
    <s v="sex"/>
    <x v="9"/>
    <x v="1"/>
  </r>
  <r>
    <n v="386"/>
    <d v="2021-10-16T00:00:00"/>
    <x v="7"/>
    <x v="0"/>
    <x v="1"/>
    <x v="1"/>
    <n v="3.5"/>
    <x v="4"/>
    <x v="1"/>
    <x v="0"/>
    <x v="8"/>
    <n v="1213"/>
    <s v="sáb"/>
    <x v="9"/>
    <x v="1"/>
  </r>
  <r>
    <n v="387"/>
    <d v="2021-10-17T00:00:00"/>
    <x v="3"/>
    <x v="0"/>
    <x v="1"/>
    <x v="2"/>
    <n v="0"/>
    <x v="7"/>
    <x v="0"/>
    <x v="1"/>
    <x v="3"/>
    <n v="0"/>
    <s v="dom"/>
    <x v="9"/>
    <x v="1"/>
  </r>
  <r>
    <n v="388"/>
    <d v="2021-10-19T00:00:00"/>
    <x v="3"/>
    <x v="0"/>
    <x v="0"/>
    <x v="6"/>
    <n v="0"/>
    <x v="7"/>
    <x v="2"/>
    <x v="0"/>
    <x v="3"/>
    <n v="65"/>
    <s v="ter"/>
    <x v="9"/>
    <x v="1"/>
  </r>
  <r>
    <n v="389"/>
    <d v="2021-10-19T00:00:00"/>
    <x v="3"/>
    <x v="0"/>
    <x v="1"/>
    <x v="2"/>
    <n v="0"/>
    <x v="7"/>
    <x v="3"/>
    <x v="2"/>
    <x v="6"/>
    <n v="2860"/>
    <s v="ter"/>
    <x v="9"/>
    <x v="1"/>
  </r>
  <r>
    <n v="390"/>
    <d v="2021-10-23T00:00:00"/>
    <x v="4"/>
    <x v="0"/>
    <x v="0"/>
    <x v="4"/>
    <n v="0"/>
    <x v="0"/>
    <x v="2"/>
    <x v="0"/>
    <x v="6"/>
    <n v="129"/>
    <s v="sáb"/>
    <x v="9"/>
    <x v="1"/>
  </r>
  <r>
    <n v="391"/>
    <d v="2021-10-23T00:00:00"/>
    <x v="5"/>
    <x v="0"/>
    <x v="2"/>
    <x v="4"/>
    <n v="0"/>
    <x v="6"/>
    <x v="3"/>
    <x v="0"/>
    <x v="7"/>
    <n v="4698"/>
    <s v="sáb"/>
    <x v="9"/>
    <x v="1"/>
  </r>
  <r>
    <n v="392"/>
    <d v="2021-10-26T00:00:00"/>
    <x v="0"/>
    <x v="0"/>
    <x v="1"/>
    <x v="6"/>
    <n v="0"/>
    <x v="4"/>
    <x v="0"/>
    <x v="0"/>
    <x v="6"/>
    <n v="0"/>
    <s v="ter"/>
    <x v="9"/>
    <x v="1"/>
  </r>
  <r>
    <n v="393"/>
    <d v="2021-10-28T00:00:00"/>
    <x v="7"/>
    <x v="0"/>
    <x v="1"/>
    <x v="4"/>
    <n v="0"/>
    <x v="8"/>
    <x v="2"/>
    <x v="0"/>
    <x v="3"/>
    <n v="36"/>
    <s v="qui"/>
    <x v="9"/>
    <x v="1"/>
  </r>
  <r>
    <n v="394"/>
    <d v="2021-10-30T00:00:00"/>
    <x v="2"/>
    <x v="0"/>
    <x v="3"/>
    <x v="2"/>
    <n v="0"/>
    <x v="8"/>
    <x v="0"/>
    <x v="0"/>
    <x v="6"/>
    <n v="0"/>
    <s v="sáb"/>
    <x v="9"/>
    <x v="1"/>
  </r>
  <r>
    <n v="395"/>
    <d v="2021-11-02T00:00:00"/>
    <x v="8"/>
    <x v="0"/>
    <x v="3"/>
    <x v="2"/>
    <n v="0"/>
    <x v="5"/>
    <x v="0"/>
    <x v="0"/>
    <x v="6"/>
    <n v="0"/>
    <s v="ter"/>
    <x v="10"/>
    <x v="1"/>
  </r>
  <r>
    <n v="396"/>
    <d v="2021-11-06T00:00:00"/>
    <x v="4"/>
    <x v="0"/>
    <x v="3"/>
    <x v="2"/>
    <n v="0"/>
    <x v="4"/>
    <x v="3"/>
    <x v="2"/>
    <x v="6"/>
    <n v="1585"/>
    <s v="sáb"/>
    <x v="10"/>
    <x v="1"/>
  </r>
  <r>
    <n v="397"/>
    <d v="2021-11-09T00:00:00"/>
    <x v="6"/>
    <x v="0"/>
    <x v="1"/>
    <x v="8"/>
    <n v="3"/>
    <x v="0"/>
    <x v="1"/>
    <x v="2"/>
    <x v="8"/>
    <n v="2015"/>
    <s v="ter"/>
    <x v="10"/>
    <x v="1"/>
  </r>
  <r>
    <n v="398"/>
    <d v="2021-11-10T00:00:00"/>
    <x v="5"/>
    <x v="0"/>
    <x v="3"/>
    <x v="7"/>
    <n v="4"/>
    <x v="4"/>
    <x v="1"/>
    <x v="0"/>
    <x v="2"/>
    <n v="1793"/>
    <s v="qua"/>
    <x v="10"/>
    <x v="1"/>
  </r>
  <r>
    <n v="399"/>
    <d v="2021-11-12T00:00:00"/>
    <x v="2"/>
    <x v="0"/>
    <x v="2"/>
    <x v="1"/>
    <n v="2.5"/>
    <x v="8"/>
    <x v="1"/>
    <x v="1"/>
    <x v="8"/>
    <n v="807"/>
    <s v="sex"/>
    <x v="10"/>
    <x v="1"/>
  </r>
  <r>
    <n v="400"/>
    <d v="2021-11-14T00:00:00"/>
    <x v="6"/>
    <x v="1"/>
    <x v="1"/>
    <x v="2"/>
    <n v="0.5"/>
    <x v="4"/>
    <x v="1"/>
    <x v="1"/>
    <x v="0"/>
    <n v="920"/>
    <s v="dom"/>
    <x v="10"/>
    <x v="1"/>
  </r>
  <r>
    <n v="401"/>
    <d v="2021-11-15T00:00:00"/>
    <x v="7"/>
    <x v="0"/>
    <x v="0"/>
    <x v="8"/>
    <n v="0"/>
    <x v="5"/>
    <x v="2"/>
    <x v="0"/>
    <x v="5"/>
    <n v="37"/>
    <s v="seg"/>
    <x v="10"/>
    <x v="1"/>
  </r>
  <r>
    <n v="402"/>
    <d v="2021-11-15T00:00:00"/>
    <x v="6"/>
    <x v="0"/>
    <x v="3"/>
    <x v="8"/>
    <n v="0"/>
    <x v="2"/>
    <x v="3"/>
    <x v="2"/>
    <x v="0"/>
    <n v="4791"/>
    <s v="seg"/>
    <x v="10"/>
    <x v="1"/>
  </r>
  <r>
    <n v="403"/>
    <d v="2021-11-16T00:00:00"/>
    <x v="6"/>
    <x v="0"/>
    <x v="0"/>
    <x v="5"/>
    <n v="0"/>
    <x v="0"/>
    <x v="3"/>
    <x v="0"/>
    <x v="8"/>
    <n v="2124"/>
    <s v="ter"/>
    <x v="10"/>
    <x v="1"/>
  </r>
  <r>
    <n v="404"/>
    <d v="2021-11-17T00:00:00"/>
    <x v="7"/>
    <x v="1"/>
    <x v="1"/>
    <x v="6"/>
    <n v="0"/>
    <x v="3"/>
    <x v="0"/>
    <x v="1"/>
    <x v="4"/>
    <n v="0"/>
    <s v="qua"/>
    <x v="10"/>
    <x v="1"/>
  </r>
  <r>
    <n v="405"/>
    <d v="2021-11-21T00:00:00"/>
    <x v="5"/>
    <x v="0"/>
    <x v="0"/>
    <x v="8"/>
    <n v="0"/>
    <x v="1"/>
    <x v="3"/>
    <x v="0"/>
    <x v="1"/>
    <n v="1636"/>
    <s v="dom"/>
    <x v="10"/>
    <x v="1"/>
  </r>
  <r>
    <n v="406"/>
    <d v="2021-11-22T00:00:00"/>
    <x v="1"/>
    <x v="0"/>
    <x v="0"/>
    <x v="1"/>
    <n v="0"/>
    <x v="2"/>
    <x v="3"/>
    <x v="2"/>
    <x v="5"/>
    <n v="4069"/>
    <s v="seg"/>
    <x v="10"/>
    <x v="1"/>
  </r>
  <r>
    <n v="407"/>
    <d v="2021-11-23T00:00:00"/>
    <x v="7"/>
    <x v="0"/>
    <x v="1"/>
    <x v="4"/>
    <n v="0"/>
    <x v="3"/>
    <x v="2"/>
    <x v="1"/>
    <x v="6"/>
    <n v="493"/>
    <s v="ter"/>
    <x v="10"/>
    <x v="1"/>
  </r>
  <r>
    <n v="408"/>
    <d v="2021-11-24T00:00:00"/>
    <x v="0"/>
    <x v="0"/>
    <x v="2"/>
    <x v="3"/>
    <n v="0"/>
    <x v="1"/>
    <x v="3"/>
    <x v="2"/>
    <x v="7"/>
    <n v="1493"/>
    <s v="qua"/>
    <x v="10"/>
    <x v="1"/>
  </r>
  <r>
    <n v="409"/>
    <d v="2021-11-26T00:00:00"/>
    <x v="6"/>
    <x v="0"/>
    <x v="2"/>
    <x v="2"/>
    <n v="0"/>
    <x v="3"/>
    <x v="0"/>
    <x v="2"/>
    <x v="6"/>
    <n v="0"/>
    <s v="sex"/>
    <x v="10"/>
    <x v="1"/>
  </r>
  <r>
    <n v="410"/>
    <d v="2021-11-28T00:00:00"/>
    <x v="2"/>
    <x v="1"/>
    <x v="3"/>
    <x v="6"/>
    <n v="0"/>
    <x v="1"/>
    <x v="2"/>
    <x v="0"/>
    <x v="2"/>
    <n v="449"/>
    <s v="dom"/>
    <x v="10"/>
    <x v="1"/>
  </r>
  <r>
    <n v="411"/>
    <d v="2021-11-30T00:00:00"/>
    <x v="0"/>
    <x v="0"/>
    <x v="2"/>
    <x v="8"/>
    <n v="1.5"/>
    <x v="5"/>
    <x v="1"/>
    <x v="2"/>
    <x v="2"/>
    <n v="4871"/>
    <s v="ter"/>
    <x v="10"/>
    <x v="1"/>
  </r>
  <r>
    <n v="412"/>
    <d v="2021-12-03T00:00:00"/>
    <x v="5"/>
    <x v="1"/>
    <x v="0"/>
    <x v="4"/>
    <n v="0"/>
    <x v="5"/>
    <x v="0"/>
    <x v="0"/>
    <x v="4"/>
    <n v="0"/>
    <s v="sex"/>
    <x v="11"/>
    <x v="1"/>
  </r>
  <r>
    <n v="413"/>
    <d v="2021-12-04T00:00:00"/>
    <x v="6"/>
    <x v="0"/>
    <x v="3"/>
    <x v="6"/>
    <n v="0"/>
    <x v="7"/>
    <x v="0"/>
    <x v="2"/>
    <x v="8"/>
    <n v="0"/>
    <s v="sáb"/>
    <x v="11"/>
    <x v="1"/>
  </r>
  <r>
    <n v="414"/>
    <d v="2021-12-06T00:00:00"/>
    <x v="2"/>
    <x v="0"/>
    <x v="0"/>
    <x v="4"/>
    <n v="0"/>
    <x v="4"/>
    <x v="3"/>
    <x v="2"/>
    <x v="4"/>
    <n v="4021"/>
    <s v="seg"/>
    <x v="11"/>
    <x v="1"/>
  </r>
  <r>
    <n v="415"/>
    <d v="2021-12-06T00:00:00"/>
    <x v="8"/>
    <x v="0"/>
    <x v="0"/>
    <x v="6"/>
    <n v="4.5"/>
    <x v="2"/>
    <x v="1"/>
    <x v="2"/>
    <x v="8"/>
    <n v="4399"/>
    <s v="seg"/>
    <x v="11"/>
    <x v="1"/>
  </r>
  <r>
    <n v="416"/>
    <d v="2021-12-08T00:00:00"/>
    <x v="6"/>
    <x v="0"/>
    <x v="1"/>
    <x v="1"/>
    <n v="0"/>
    <x v="6"/>
    <x v="2"/>
    <x v="1"/>
    <x v="0"/>
    <n v="324"/>
    <s v="qua"/>
    <x v="11"/>
    <x v="1"/>
  </r>
  <r>
    <n v="417"/>
    <d v="2021-12-17T00:00:00"/>
    <x v="5"/>
    <x v="0"/>
    <x v="1"/>
    <x v="2"/>
    <n v="0"/>
    <x v="1"/>
    <x v="2"/>
    <x v="0"/>
    <x v="7"/>
    <n v="125"/>
    <s v="sex"/>
    <x v="11"/>
    <x v="1"/>
  </r>
  <r>
    <n v="418"/>
    <d v="2021-12-20T00:00:00"/>
    <x v="7"/>
    <x v="0"/>
    <x v="3"/>
    <x v="4"/>
    <n v="0"/>
    <x v="0"/>
    <x v="3"/>
    <x v="0"/>
    <x v="4"/>
    <n v="2351"/>
    <s v="seg"/>
    <x v="11"/>
    <x v="1"/>
  </r>
  <r>
    <n v="419"/>
    <d v="2021-12-22T00:00:00"/>
    <x v="3"/>
    <x v="0"/>
    <x v="0"/>
    <x v="4"/>
    <n v="0"/>
    <x v="5"/>
    <x v="0"/>
    <x v="0"/>
    <x v="2"/>
    <n v="0"/>
    <s v="qua"/>
    <x v="11"/>
    <x v="1"/>
  </r>
  <r>
    <n v="420"/>
    <d v="2021-12-23T00:00:00"/>
    <x v="2"/>
    <x v="0"/>
    <x v="1"/>
    <x v="7"/>
    <n v="0"/>
    <x v="4"/>
    <x v="3"/>
    <x v="0"/>
    <x v="5"/>
    <n v="2699"/>
    <s v="qui"/>
    <x v="11"/>
    <x v="1"/>
  </r>
  <r>
    <n v="421"/>
    <d v="2021-12-28T00:00:00"/>
    <x v="2"/>
    <x v="0"/>
    <x v="1"/>
    <x v="7"/>
    <n v="0"/>
    <x v="1"/>
    <x v="2"/>
    <x v="2"/>
    <x v="0"/>
    <n v="422"/>
    <s v="ter"/>
    <x v="11"/>
    <x v="1"/>
  </r>
  <r>
    <n v="422"/>
    <d v="2021-12-29T00:00:00"/>
    <x v="1"/>
    <x v="0"/>
    <x v="3"/>
    <x v="2"/>
    <n v="0"/>
    <x v="8"/>
    <x v="0"/>
    <x v="2"/>
    <x v="7"/>
    <n v="0"/>
    <s v="qua"/>
    <x v="11"/>
    <x v="1"/>
  </r>
  <r>
    <n v="423"/>
    <d v="2022-01-02T00:00:00"/>
    <x v="0"/>
    <x v="0"/>
    <x v="3"/>
    <x v="7"/>
    <n v="1"/>
    <x v="5"/>
    <x v="1"/>
    <x v="1"/>
    <x v="5"/>
    <n v="3582"/>
    <s v="dom"/>
    <x v="0"/>
    <x v="2"/>
  </r>
  <r>
    <n v="424"/>
    <d v="2022-01-03T00:00:00"/>
    <x v="2"/>
    <x v="0"/>
    <x v="1"/>
    <x v="6"/>
    <n v="0"/>
    <x v="4"/>
    <x v="0"/>
    <x v="2"/>
    <x v="3"/>
    <n v="0"/>
    <s v="seg"/>
    <x v="0"/>
    <x v="2"/>
  </r>
  <r>
    <n v="425"/>
    <d v="2022-01-04T00:00:00"/>
    <x v="6"/>
    <x v="0"/>
    <x v="0"/>
    <x v="8"/>
    <n v="0"/>
    <x v="0"/>
    <x v="0"/>
    <x v="1"/>
    <x v="0"/>
    <n v="0"/>
    <s v="ter"/>
    <x v="0"/>
    <x v="2"/>
  </r>
  <r>
    <n v="426"/>
    <d v="2022-01-04T00:00:00"/>
    <x v="1"/>
    <x v="0"/>
    <x v="0"/>
    <x v="5"/>
    <n v="1.5"/>
    <x v="0"/>
    <x v="1"/>
    <x v="2"/>
    <x v="1"/>
    <n v="2459"/>
    <s v="ter"/>
    <x v="0"/>
    <x v="2"/>
  </r>
  <r>
    <n v="427"/>
    <d v="2022-01-08T00:00:00"/>
    <x v="1"/>
    <x v="0"/>
    <x v="0"/>
    <x v="2"/>
    <n v="0"/>
    <x v="6"/>
    <x v="2"/>
    <x v="0"/>
    <x v="4"/>
    <n v="60"/>
    <s v="sáb"/>
    <x v="0"/>
    <x v="2"/>
  </r>
  <r>
    <n v="428"/>
    <d v="2022-01-09T00:00:00"/>
    <x v="7"/>
    <x v="1"/>
    <x v="1"/>
    <x v="4"/>
    <n v="4"/>
    <x v="1"/>
    <x v="1"/>
    <x v="2"/>
    <x v="3"/>
    <n v="736"/>
    <s v="dom"/>
    <x v="0"/>
    <x v="2"/>
  </r>
  <r>
    <n v="429"/>
    <d v="2022-01-12T00:00:00"/>
    <x v="6"/>
    <x v="0"/>
    <x v="3"/>
    <x v="7"/>
    <n v="0"/>
    <x v="6"/>
    <x v="0"/>
    <x v="0"/>
    <x v="0"/>
    <n v="0"/>
    <s v="qua"/>
    <x v="0"/>
    <x v="2"/>
  </r>
  <r>
    <n v="430"/>
    <d v="2022-01-14T00:00:00"/>
    <x v="1"/>
    <x v="0"/>
    <x v="1"/>
    <x v="0"/>
    <n v="0"/>
    <x v="8"/>
    <x v="0"/>
    <x v="2"/>
    <x v="6"/>
    <n v="0"/>
    <s v="sex"/>
    <x v="0"/>
    <x v="2"/>
  </r>
  <r>
    <n v="431"/>
    <d v="2022-01-15T00:00:00"/>
    <x v="5"/>
    <x v="0"/>
    <x v="3"/>
    <x v="2"/>
    <n v="0"/>
    <x v="1"/>
    <x v="3"/>
    <x v="0"/>
    <x v="3"/>
    <n v="1045"/>
    <s v="sáb"/>
    <x v="0"/>
    <x v="2"/>
  </r>
  <r>
    <n v="432"/>
    <d v="2022-01-16T00:00:00"/>
    <x v="5"/>
    <x v="0"/>
    <x v="3"/>
    <x v="8"/>
    <n v="0"/>
    <x v="8"/>
    <x v="2"/>
    <x v="0"/>
    <x v="5"/>
    <n v="83"/>
    <s v="dom"/>
    <x v="0"/>
    <x v="2"/>
  </r>
  <r>
    <n v="433"/>
    <d v="2022-01-16T00:00:00"/>
    <x v="4"/>
    <x v="0"/>
    <x v="3"/>
    <x v="8"/>
    <n v="0"/>
    <x v="7"/>
    <x v="0"/>
    <x v="2"/>
    <x v="4"/>
    <n v="0"/>
    <s v="dom"/>
    <x v="0"/>
    <x v="2"/>
  </r>
  <r>
    <n v="434"/>
    <d v="2022-01-19T00:00:00"/>
    <x v="7"/>
    <x v="0"/>
    <x v="1"/>
    <x v="0"/>
    <n v="1.5"/>
    <x v="1"/>
    <x v="1"/>
    <x v="0"/>
    <x v="3"/>
    <n v="998"/>
    <s v="qua"/>
    <x v="0"/>
    <x v="2"/>
  </r>
  <r>
    <n v="435"/>
    <d v="2022-01-19T00:00:00"/>
    <x v="7"/>
    <x v="0"/>
    <x v="0"/>
    <x v="0"/>
    <n v="1"/>
    <x v="5"/>
    <x v="1"/>
    <x v="0"/>
    <x v="0"/>
    <n v="2170"/>
    <s v="qua"/>
    <x v="0"/>
    <x v="2"/>
  </r>
  <r>
    <n v="436"/>
    <d v="2022-01-20T00:00:00"/>
    <x v="0"/>
    <x v="0"/>
    <x v="2"/>
    <x v="7"/>
    <n v="0"/>
    <x v="0"/>
    <x v="2"/>
    <x v="2"/>
    <x v="2"/>
    <n v="385"/>
    <s v="qui"/>
    <x v="0"/>
    <x v="2"/>
  </r>
  <r>
    <n v="437"/>
    <d v="2022-01-21T00:00:00"/>
    <x v="2"/>
    <x v="0"/>
    <x v="2"/>
    <x v="0"/>
    <n v="0"/>
    <x v="1"/>
    <x v="3"/>
    <x v="1"/>
    <x v="4"/>
    <n v="1277"/>
    <s v="sex"/>
    <x v="0"/>
    <x v="2"/>
  </r>
  <r>
    <n v="438"/>
    <d v="2022-01-22T00:00:00"/>
    <x v="2"/>
    <x v="0"/>
    <x v="1"/>
    <x v="6"/>
    <n v="0"/>
    <x v="2"/>
    <x v="2"/>
    <x v="1"/>
    <x v="4"/>
    <n v="350"/>
    <s v="sáb"/>
    <x v="0"/>
    <x v="2"/>
  </r>
  <r>
    <n v="439"/>
    <d v="2022-01-27T00:00:00"/>
    <x v="6"/>
    <x v="0"/>
    <x v="0"/>
    <x v="3"/>
    <n v="0"/>
    <x v="3"/>
    <x v="3"/>
    <x v="2"/>
    <x v="2"/>
    <n v="2321"/>
    <s v="qui"/>
    <x v="0"/>
    <x v="2"/>
  </r>
  <r>
    <n v="440"/>
    <d v="2022-01-28T00:00:00"/>
    <x v="3"/>
    <x v="0"/>
    <x v="2"/>
    <x v="1"/>
    <n v="0"/>
    <x v="5"/>
    <x v="0"/>
    <x v="0"/>
    <x v="7"/>
    <n v="0"/>
    <s v="sex"/>
    <x v="0"/>
    <x v="2"/>
  </r>
  <r>
    <n v="441"/>
    <d v="2022-01-28T00:00:00"/>
    <x v="3"/>
    <x v="0"/>
    <x v="2"/>
    <x v="4"/>
    <n v="2.5"/>
    <x v="5"/>
    <x v="1"/>
    <x v="1"/>
    <x v="8"/>
    <n v="4947"/>
    <s v="sex"/>
    <x v="0"/>
    <x v="2"/>
  </r>
  <r>
    <n v="442"/>
    <d v="2022-01-30T00:00:00"/>
    <x v="2"/>
    <x v="1"/>
    <x v="1"/>
    <x v="7"/>
    <n v="5"/>
    <x v="3"/>
    <x v="1"/>
    <x v="0"/>
    <x v="6"/>
    <n v="1919"/>
    <s v="dom"/>
    <x v="0"/>
    <x v="2"/>
  </r>
  <r>
    <n v="443"/>
    <d v="2022-02-02T00:00:00"/>
    <x v="0"/>
    <x v="0"/>
    <x v="1"/>
    <x v="3"/>
    <n v="0"/>
    <x v="6"/>
    <x v="0"/>
    <x v="1"/>
    <x v="1"/>
    <n v="0"/>
    <s v="qua"/>
    <x v="1"/>
    <x v="2"/>
  </r>
  <r>
    <n v="444"/>
    <d v="2022-02-02T00:00:00"/>
    <x v="1"/>
    <x v="0"/>
    <x v="0"/>
    <x v="3"/>
    <n v="1.5"/>
    <x v="1"/>
    <x v="1"/>
    <x v="2"/>
    <x v="3"/>
    <n v="2381"/>
    <s v="qua"/>
    <x v="1"/>
    <x v="2"/>
  </r>
  <r>
    <n v="445"/>
    <d v="2022-02-06T00:00:00"/>
    <x v="0"/>
    <x v="0"/>
    <x v="3"/>
    <x v="1"/>
    <n v="0"/>
    <x v="2"/>
    <x v="3"/>
    <x v="1"/>
    <x v="3"/>
    <n v="534"/>
    <s v="dom"/>
    <x v="1"/>
    <x v="2"/>
  </r>
  <r>
    <n v="446"/>
    <d v="2022-02-07T00:00:00"/>
    <x v="8"/>
    <x v="0"/>
    <x v="2"/>
    <x v="1"/>
    <n v="0"/>
    <x v="2"/>
    <x v="2"/>
    <x v="0"/>
    <x v="6"/>
    <n v="461"/>
    <s v="seg"/>
    <x v="1"/>
    <x v="2"/>
  </r>
  <r>
    <n v="447"/>
    <d v="2022-02-08T00:00:00"/>
    <x v="2"/>
    <x v="0"/>
    <x v="3"/>
    <x v="5"/>
    <n v="0"/>
    <x v="2"/>
    <x v="0"/>
    <x v="2"/>
    <x v="3"/>
    <n v="0"/>
    <s v="ter"/>
    <x v="1"/>
    <x v="2"/>
  </r>
  <r>
    <n v="448"/>
    <d v="2022-02-08T00:00:00"/>
    <x v="7"/>
    <x v="0"/>
    <x v="1"/>
    <x v="2"/>
    <n v="4"/>
    <x v="2"/>
    <x v="1"/>
    <x v="2"/>
    <x v="1"/>
    <n v="1392"/>
    <s v="ter"/>
    <x v="1"/>
    <x v="2"/>
  </r>
  <r>
    <n v="449"/>
    <d v="2022-02-09T00:00:00"/>
    <x v="5"/>
    <x v="0"/>
    <x v="3"/>
    <x v="2"/>
    <n v="4"/>
    <x v="6"/>
    <x v="1"/>
    <x v="2"/>
    <x v="7"/>
    <n v="540"/>
    <s v="qua"/>
    <x v="1"/>
    <x v="2"/>
  </r>
  <r>
    <n v="450"/>
    <d v="2022-02-09T00:00:00"/>
    <x v="1"/>
    <x v="0"/>
    <x v="3"/>
    <x v="6"/>
    <n v="0"/>
    <x v="8"/>
    <x v="2"/>
    <x v="2"/>
    <x v="3"/>
    <n v="41"/>
    <s v="qua"/>
    <x v="1"/>
    <x v="2"/>
  </r>
  <r>
    <n v="451"/>
    <d v="2022-02-10T00:00:00"/>
    <x v="0"/>
    <x v="0"/>
    <x v="0"/>
    <x v="4"/>
    <n v="0"/>
    <x v="0"/>
    <x v="3"/>
    <x v="1"/>
    <x v="2"/>
    <n v="719"/>
    <s v="qui"/>
    <x v="1"/>
    <x v="2"/>
  </r>
  <r>
    <n v="452"/>
    <d v="2022-02-11T00:00:00"/>
    <x v="6"/>
    <x v="0"/>
    <x v="0"/>
    <x v="1"/>
    <n v="0"/>
    <x v="2"/>
    <x v="0"/>
    <x v="2"/>
    <x v="3"/>
    <n v="0"/>
    <s v="sex"/>
    <x v="1"/>
    <x v="2"/>
  </r>
  <r>
    <n v="453"/>
    <d v="2022-02-14T00:00:00"/>
    <x v="0"/>
    <x v="0"/>
    <x v="1"/>
    <x v="4"/>
    <n v="0"/>
    <x v="6"/>
    <x v="2"/>
    <x v="2"/>
    <x v="1"/>
    <n v="330"/>
    <s v="seg"/>
    <x v="1"/>
    <x v="2"/>
  </r>
  <r>
    <n v="454"/>
    <d v="2022-02-14T00:00:00"/>
    <x v="0"/>
    <x v="0"/>
    <x v="3"/>
    <x v="3"/>
    <n v="4.5"/>
    <x v="7"/>
    <x v="1"/>
    <x v="1"/>
    <x v="0"/>
    <n v="855"/>
    <s v="seg"/>
    <x v="1"/>
    <x v="2"/>
  </r>
  <r>
    <n v="455"/>
    <d v="2022-02-15T00:00:00"/>
    <x v="7"/>
    <x v="0"/>
    <x v="1"/>
    <x v="8"/>
    <n v="3.5"/>
    <x v="0"/>
    <x v="1"/>
    <x v="2"/>
    <x v="0"/>
    <n v="3824"/>
    <s v="ter"/>
    <x v="1"/>
    <x v="2"/>
  </r>
  <r>
    <n v="456"/>
    <d v="2022-02-22T00:00:00"/>
    <x v="0"/>
    <x v="0"/>
    <x v="0"/>
    <x v="1"/>
    <n v="0"/>
    <x v="1"/>
    <x v="3"/>
    <x v="2"/>
    <x v="6"/>
    <n v="3419"/>
    <s v="ter"/>
    <x v="1"/>
    <x v="2"/>
  </r>
  <r>
    <n v="457"/>
    <d v="2022-02-23T00:00:00"/>
    <x v="2"/>
    <x v="1"/>
    <x v="3"/>
    <x v="5"/>
    <n v="4"/>
    <x v="0"/>
    <x v="1"/>
    <x v="1"/>
    <x v="4"/>
    <n v="1594"/>
    <s v="qua"/>
    <x v="1"/>
    <x v="2"/>
  </r>
  <r>
    <n v="458"/>
    <d v="2022-02-24T00:00:00"/>
    <x v="6"/>
    <x v="0"/>
    <x v="1"/>
    <x v="6"/>
    <n v="4.5"/>
    <x v="4"/>
    <x v="1"/>
    <x v="2"/>
    <x v="8"/>
    <n v="585"/>
    <s v="qui"/>
    <x v="1"/>
    <x v="2"/>
  </r>
  <r>
    <n v="459"/>
    <d v="2022-02-24T00:00:00"/>
    <x v="7"/>
    <x v="0"/>
    <x v="1"/>
    <x v="0"/>
    <n v="0"/>
    <x v="6"/>
    <x v="0"/>
    <x v="2"/>
    <x v="2"/>
    <n v="0"/>
    <s v="qui"/>
    <x v="1"/>
    <x v="2"/>
  </r>
  <r>
    <n v="460"/>
    <d v="2022-02-26T00:00:00"/>
    <x v="0"/>
    <x v="1"/>
    <x v="0"/>
    <x v="2"/>
    <n v="0"/>
    <x v="3"/>
    <x v="3"/>
    <x v="2"/>
    <x v="4"/>
    <n v="2793"/>
    <s v="sáb"/>
    <x v="1"/>
    <x v="2"/>
  </r>
  <r>
    <n v="461"/>
    <d v="2022-02-27T00:00:00"/>
    <x v="0"/>
    <x v="0"/>
    <x v="1"/>
    <x v="4"/>
    <n v="0"/>
    <x v="8"/>
    <x v="2"/>
    <x v="2"/>
    <x v="6"/>
    <n v="326"/>
    <s v="dom"/>
    <x v="1"/>
    <x v="2"/>
  </r>
  <r>
    <n v="462"/>
    <d v="2022-02-28T00:00:00"/>
    <x v="2"/>
    <x v="0"/>
    <x v="1"/>
    <x v="3"/>
    <n v="0"/>
    <x v="7"/>
    <x v="2"/>
    <x v="2"/>
    <x v="3"/>
    <n v="314"/>
    <s v="seg"/>
    <x v="1"/>
    <x v="2"/>
  </r>
  <r>
    <n v="463"/>
    <d v="2022-03-03T00:00:00"/>
    <x v="4"/>
    <x v="0"/>
    <x v="1"/>
    <x v="1"/>
    <n v="3.5"/>
    <x v="6"/>
    <x v="1"/>
    <x v="1"/>
    <x v="7"/>
    <n v="1769"/>
    <s v="qui"/>
    <x v="2"/>
    <x v="2"/>
  </r>
  <r>
    <n v="464"/>
    <d v="2022-03-12T00:00:00"/>
    <x v="6"/>
    <x v="0"/>
    <x v="3"/>
    <x v="1"/>
    <n v="0"/>
    <x v="8"/>
    <x v="0"/>
    <x v="1"/>
    <x v="3"/>
    <n v="0"/>
    <s v="sáb"/>
    <x v="2"/>
    <x v="2"/>
  </r>
  <r>
    <n v="465"/>
    <d v="2022-03-12T00:00:00"/>
    <x v="5"/>
    <x v="0"/>
    <x v="2"/>
    <x v="7"/>
    <n v="4"/>
    <x v="1"/>
    <x v="1"/>
    <x v="1"/>
    <x v="6"/>
    <n v="3498"/>
    <s v="sáb"/>
    <x v="2"/>
    <x v="2"/>
  </r>
  <r>
    <n v="466"/>
    <d v="2022-03-15T00:00:00"/>
    <x v="3"/>
    <x v="0"/>
    <x v="0"/>
    <x v="5"/>
    <n v="1.5"/>
    <x v="6"/>
    <x v="1"/>
    <x v="0"/>
    <x v="5"/>
    <n v="2336"/>
    <s v="ter"/>
    <x v="2"/>
    <x v="2"/>
  </r>
  <r>
    <n v="467"/>
    <d v="2022-03-17T00:00:00"/>
    <x v="7"/>
    <x v="0"/>
    <x v="3"/>
    <x v="2"/>
    <n v="0"/>
    <x v="8"/>
    <x v="2"/>
    <x v="2"/>
    <x v="0"/>
    <n v="114"/>
    <s v="qui"/>
    <x v="2"/>
    <x v="2"/>
  </r>
  <r>
    <n v="468"/>
    <d v="2022-03-22T00:00:00"/>
    <x v="2"/>
    <x v="0"/>
    <x v="2"/>
    <x v="2"/>
    <n v="0"/>
    <x v="1"/>
    <x v="2"/>
    <x v="1"/>
    <x v="7"/>
    <n v="174"/>
    <s v="ter"/>
    <x v="2"/>
    <x v="2"/>
  </r>
  <r>
    <n v="469"/>
    <d v="2022-03-22T00:00:00"/>
    <x v="2"/>
    <x v="0"/>
    <x v="0"/>
    <x v="8"/>
    <n v="0"/>
    <x v="4"/>
    <x v="3"/>
    <x v="2"/>
    <x v="7"/>
    <n v="3379"/>
    <s v="ter"/>
    <x v="2"/>
    <x v="2"/>
  </r>
  <r>
    <n v="470"/>
    <d v="2022-03-25T00:00:00"/>
    <x v="1"/>
    <x v="0"/>
    <x v="0"/>
    <x v="8"/>
    <n v="0.5"/>
    <x v="3"/>
    <x v="1"/>
    <x v="1"/>
    <x v="5"/>
    <n v="4145"/>
    <s v="sex"/>
    <x v="2"/>
    <x v="2"/>
  </r>
  <r>
    <n v="471"/>
    <d v="2022-03-26T00:00:00"/>
    <x v="2"/>
    <x v="0"/>
    <x v="3"/>
    <x v="8"/>
    <n v="0"/>
    <x v="6"/>
    <x v="3"/>
    <x v="0"/>
    <x v="6"/>
    <n v="4150"/>
    <s v="sáb"/>
    <x v="2"/>
    <x v="2"/>
  </r>
  <r>
    <n v="472"/>
    <d v="2022-03-28T00:00:00"/>
    <x v="2"/>
    <x v="0"/>
    <x v="3"/>
    <x v="6"/>
    <n v="0"/>
    <x v="7"/>
    <x v="2"/>
    <x v="2"/>
    <x v="1"/>
    <n v="259"/>
    <s v="seg"/>
    <x v="2"/>
    <x v="2"/>
  </r>
  <r>
    <n v="473"/>
    <d v="2022-04-01T00:00:00"/>
    <x v="2"/>
    <x v="0"/>
    <x v="1"/>
    <x v="6"/>
    <n v="3.5"/>
    <x v="0"/>
    <x v="1"/>
    <x v="0"/>
    <x v="6"/>
    <n v="3134"/>
    <s v="sex"/>
    <x v="3"/>
    <x v="2"/>
  </r>
  <r>
    <n v="474"/>
    <d v="2022-04-01T00:00:00"/>
    <x v="2"/>
    <x v="0"/>
    <x v="2"/>
    <x v="7"/>
    <n v="0"/>
    <x v="4"/>
    <x v="3"/>
    <x v="2"/>
    <x v="0"/>
    <n v="4130"/>
    <s v="sex"/>
    <x v="3"/>
    <x v="2"/>
  </r>
  <r>
    <n v="475"/>
    <d v="2022-04-03T00:00:00"/>
    <x v="3"/>
    <x v="0"/>
    <x v="0"/>
    <x v="7"/>
    <n v="3.5"/>
    <x v="7"/>
    <x v="1"/>
    <x v="2"/>
    <x v="3"/>
    <n v="1424"/>
    <s v="dom"/>
    <x v="3"/>
    <x v="2"/>
  </r>
  <r>
    <n v="476"/>
    <d v="2022-04-04T00:00:00"/>
    <x v="7"/>
    <x v="0"/>
    <x v="2"/>
    <x v="4"/>
    <n v="2"/>
    <x v="5"/>
    <x v="1"/>
    <x v="0"/>
    <x v="5"/>
    <n v="4908"/>
    <s v="seg"/>
    <x v="3"/>
    <x v="2"/>
  </r>
  <r>
    <n v="477"/>
    <d v="2022-04-06T00:00:00"/>
    <x v="7"/>
    <x v="0"/>
    <x v="3"/>
    <x v="6"/>
    <n v="0"/>
    <x v="7"/>
    <x v="2"/>
    <x v="1"/>
    <x v="7"/>
    <n v="162"/>
    <s v="qua"/>
    <x v="3"/>
    <x v="2"/>
  </r>
  <r>
    <n v="478"/>
    <d v="2022-04-07T00:00:00"/>
    <x v="6"/>
    <x v="0"/>
    <x v="1"/>
    <x v="6"/>
    <n v="0"/>
    <x v="5"/>
    <x v="3"/>
    <x v="0"/>
    <x v="7"/>
    <n v="4149"/>
    <s v="qui"/>
    <x v="3"/>
    <x v="2"/>
  </r>
  <r>
    <n v="479"/>
    <d v="2022-04-07T00:00:00"/>
    <x v="3"/>
    <x v="0"/>
    <x v="1"/>
    <x v="7"/>
    <n v="0"/>
    <x v="5"/>
    <x v="0"/>
    <x v="2"/>
    <x v="4"/>
    <n v="0"/>
    <s v="qui"/>
    <x v="3"/>
    <x v="2"/>
  </r>
  <r>
    <n v="480"/>
    <d v="2022-04-08T00:00:00"/>
    <x v="6"/>
    <x v="0"/>
    <x v="2"/>
    <x v="4"/>
    <n v="0"/>
    <x v="7"/>
    <x v="0"/>
    <x v="1"/>
    <x v="5"/>
    <n v="0"/>
    <s v="sex"/>
    <x v="3"/>
    <x v="2"/>
  </r>
  <r>
    <n v="481"/>
    <d v="2022-04-08T00:00:00"/>
    <x v="6"/>
    <x v="0"/>
    <x v="2"/>
    <x v="8"/>
    <n v="0"/>
    <x v="3"/>
    <x v="3"/>
    <x v="1"/>
    <x v="6"/>
    <n v="1174"/>
    <s v="sex"/>
    <x v="3"/>
    <x v="2"/>
  </r>
  <r>
    <n v="482"/>
    <d v="2022-04-12T00:00:00"/>
    <x v="8"/>
    <x v="0"/>
    <x v="0"/>
    <x v="0"/>
    <n v="1.5"/>
    <x v="4"/>
    <x v="1"/>
    <x v="1"/>
    <x v="2"/>
    <n v="1777"/>
    <s v="ter"/>
    <x v="3"/>
    <x v="2"/>
  </r>
  <r>
    <n v="483"/>
    <d v="2022-04-17T00:00:00"/>
    <x v="5"/>
    <x v="0"/>
    <x v="0"/>
    <x v="3"/>
    <n v="0"/>
    <x v="7"/>
    <x v="2"/>
    <x v="0"/>
    <x v="8"/>
    <n v="59"/>
    <s v="dom"/>
    <x v="3"/>
    <x v="2"/>
  </r>
  <r>
    <n v="484"/>
    <d v="2022-04-20T00:00:00"/>
    <x v="6"/>
    <x v="0"/>
    <x v="1"/>
    <x v="1"/>
    <n v="0"/>
    <x v="2"/>
    <x v="0"/>
    <x v="2"/>
    <x v="5"/>
    <n v="0"/>
    <s v="qua"/>
    <x v="3"/>
    <x v="2"/>
  </r>
  <r>
    <n v="485"/>
    <d v="2022-04-24T00:00:00"/>
    <x v="8"/>
    <x v="0"/>
    <x v="0"/>
    <x v="5"/>
    <n v="0"/>
    <x v="1"/>
    <x v="3"/>
    <x v="1"/>
    <x v="1"/>
    <n v="1848"/>
    <s v="dom"/>
    <x v="3"/>
    <x v="2"/>
  </r>
  <r>
    <n v="486"/>
    <d v="2022-04-24T00:00:00"/>
    <x v="2"/>
    <x v="0"/>
    <x v="2"/>
    <x v="8"/>
    <n v="0"/>
    <x v="0"/>
    <x v="0"/>
    <x v="0"/>
    <x v="6"/>
    <n v="0"/>
    <s v="dom"/>
    <x v="3"/>
    <x v="2"/>
  </r>
  <r>
    <n v="487"/>
    <d v="2022-04-27T00:00:00"/>
    <x v="5"/>
    <x v="0"/>
    <x v="0"/>
    <x v="8"/>
    <n v="0"/>
    <x v="6"/>
    <x v="3"/>
    <x v="0"/>
    <x v="2"/>
    <n v="1696"/>
    <s v="qua"/>
    <x v="3"/>
    <x v="2"/>
  </r>
  <r>
    <n v="488"/>
    <d v="2022-04-27T00:00:00"/>
    <x v="1"/>
    <x v="0"/>
    <x v="3"/>
    <x v="6"/>
    <n v="0"/>
    <x v="6"/>
    <x v="2"/>
    <x v="2"/>
    <x v="3"/>
    <n v="5"/>
    <s v="qua"/>
    <x v="3"/>
    <x v="2"/>
  </r>
  <r>
    <n v="489"/>
    <d v="2022-04-29T00:00:00"/>
    <x v="2"/>
    <x v="0"/>
    <x v="3"/>
    <x v="8"/>
    <n v="0"/>
    <x v="3"/>
    <x v="0"/>
    <x v="2"/>
    <x v="6"/>
    <n v="0"/>
    <s v="sex"/>
    <x v="3"/>
    <x v="2"/>
  </r>
  <r>
    <n v="490"/>
    <d v="2022-05-03T00:00:00"/>
    <x v="7"/>
    <x v="1"/>
    <x v="1"/>
    <x v="1"/>
    <n v="0"/>
    <x v="8"/>
    <x v="3"/>
    <x v="1"/>
    <x v="2"/>
    <n v="2795"/>
    <s v="ter"/>
    <x v="4"/>
    <x v="2"/>
  </r>
  <r>
    <n v="491"/>
    <d v="2022-05-06T00:00:00"/>
    <x v="2"/>
    <x v="0"/>
    <x v="2"/>
    <x v="0"/>
    <n v="0"/>
    <x v="7"/>
    <x v="0"/>
    <x v="0"/>
    <x v="1"/>
    <n v="0"/>
    <s v="sex"/>
    <x v="4"/>
    <x v="2"/>
  </r>
  <r>
    <n v="492"/>
    <d v="2022-05-07T00:00:00"/>
    <x v="6"/>
    <x v="0"/>
    <x v="3"/>
    <x v="1"/>
    <n v="0"/>
    <x v="1"/>
    <x v="0"/>
    <x v="1"/>
    <x v="8"/>
    <n v="0"/>
    <s v="sáb"/>
    <x v="4"/>
    <x v="2"/>
  </r>
  <r>
    <n v="493"/>
    <d v="2022-05-08T00:00:00"/>
    <x v="2"/>
    <x v="0"/>
    <x v="0"/>
    <x v="8"/>
    <n v="0"/>
    <x v="7"/>
    <x v="2"/>
    <x v="0"/>
    <x v="6"/>
    <n v="277"/>
    <s v="dom"/>
    <x v="4"/>
    <x v="2"/>
  </r>
  <r>
    <n v="494"/>
    <d v="2022-05-11T00:00:00"/>
    <x v="2"/>
    <x v="0"/>
    <x v="3"/>
    <x v="6"/>
    <n v="0"/>
    <x v="0"/>
    <x v="2"/>
    <x v="1"/>
    <x v="3"/>
    <n v="189"/>
    <s v="qua"/>
    <x v="4"/>
    <x v="2"/>
  </r>
  <r>
    <n v="495"/>
    <d v="2022-05-16T00:00:00"/>
    <x v="2"/>
    <x v="0"/>
    <x v="0"/>
    <x v="3"/>
    <n v="2.5"/>
    <x v="5"/>
    <x v="1"/>
    <x v="2"/>
    <x v="5"/>
    <n v="4563"/>
    <s v="seg"/>
    <x v="4"/>
    <x v="2"/>
  </r>
  <r>
    <n v="496"/>
    <d v="2022-05-17T00:00:00"/>
    <x v="2"/>
    <x v="0"/>
    <x v="1"/>
    <x v="7"/>
    <n v="0"/>
    <x v="7"/>
    <x v="2"/>
    <x v="1"/>
    <x v="2"/>
    <n v="341"/>
    <s v="ter"/>
    <x v="4"/>
    <x v="2"/>
  </r>
  <r>
    <n v="497"/>
    <d v="2022-05-19T00:00:00"/>
    <x v="5"/>
    <x v="0"/>
    <x v="3"/>
    <x v="2"/>
    <n v="0"/>
    <x v="2"/>
    <x v="0"/>
    <x v="0"/>
    <x v="7"/>
    <n v="0"/>
    <s v="qui"/>
    <x v="4"/>
    <x v="2"/>
  </r>
  <r>
    <n v="498"/>
    <d v="2022-05-23T00:00:00"/>
    <x v="1"/>
    <x v="0"/>
    <x v="2"/>
    <x v="0"/>
    <n v="0"/>
    <x v="5"/>
    <x v="3"/>
    <x v="0"/>
    <x v="8"/>
    <n v="1824"/>
    <s v="seg"/>
    <x v="4"/>
    <x v="2"/>
  </r>
  <r>
    <n v="499"/>
    <d v="2022-05-26T00:00:00"/>
    <x v="0"/>
    <x v="0"/>
    <x v="1"/>
    <x v="2"/>
    <n v="0"/>
    <x v="5"/>
    <x v="3"/>
    <x v="2"/>
    <x v="1"/>
    <n v="1643"/>
    <s v="qui"/>
    <x v="4"/>
    <x v="2"/>
  </r>
  <r>
    <n v="500"/>
    <d v="2022-05-27T00:00:00"/>
    <x v="2"/>
    <x v="0"/>
    <x v="2"/>
    <x v="7"/>
    <n v="0"/>
    <x v="2"/>
    <x v="2"/>
    <x v="1"/>
    <x v="2"/>
    <n v="115"/>
    <s v="sex"/>
    <x v="4"/>
    <x v="2"/>
  </r>
  <r>
    <n v="501"/>
    <d v="2022-05-30T00:00:00"/>
    <x v="5"/>
    <x v="0"/>
    <x v="2"/>
    <x v="0"/>
    <n v="1"/>
    <x v="8"/>
    <x v="1"/>
    <x v="2"/>
    <x v="0"/>
    <n v="1449"/>
    <s v="seg"/>
    <x v="4"/>
    <x v="2"/>
  </r>
  <r>
    <n v="502"/>
    <d v="2022-05-31T00:00:00"/>
    <x v="5"/>
    <x v="0"/>
    <x v="0"/>
    <x v="6"/>
    <n v="0"/>
    <x v="4"/>
    <x v="3"/>
    <x v="1"/>
    <x v="0"/>
    <n v="2764"/>
    <s v="ter"/>
    <x v="4"/>
    <x v="2"/>
  </r>
  <r>
    <n v="503"/>
    <d v="2022-06-03T00:00:00"/>
    <x v="7"/>
    <x v="0"/>
    <x v="3"/>
    <x v="4"/>
    <n v="0"/>
    <x v="1"/>
    <x v="0"/>
    <x v="1"/>
    <x v="5"/>
    <n v="0"/>
    <s v="sex"/>
    <x v="5"/>
    <x v="2"/>
  </r>
  <r>
    <n v="504"/>
    <d v="2022-06-03T00:00:00"/>
    <x v="7"/>
    <x v="0"/>
    <x v="2"/>
    <x v="7"/>
    <n v="0"/>
    <x v="4"/>
    <x v="2"/>
    <x v="0"/>
    <x v="5"/>
    <n v="67"/>
    <s v="sex"/>
    <x v="5"/>
    <x v="2"/>
  </r>
  <r>
    <n v="505"/>
    <d v="2022-06-03T00:00:00"/>
    <x v="3"/>
    <x v="0"/>
    <x v="3"/>
    <x v="0"/>
    <n v="0"/>
    <x v="2"/>
    <x v="3"/>
    <x v="1"/>
    <x v="7"/>
    <n v="4639"/>
    <s v="sex"/>
    <x v="5"/>
    <x v="2"/>
  </r>
  <r>
    <n v="506"/>
    <d v="2022-06-05T00:00:00"/>
    <x v="7"/>
    <x v="0"/>
    <x v="0"/>
    <x v="8"/>
    <n v="0"/>
    <x v="0"/>
    <x v="0"/>
    <x v="0"/>
    <x v="4"/>
    <n v="0"/>
    <s v="dom"/>
    <x v="5"/>
    <x v="2"/>
  </r>
  <r>
    <n v="507"/>
    <d v="2022-06-07T00:00:00"/>
    <x v="8"/>
    <x v="0"/>
    <x v="0"/>
    <x v="5"/>
    <n v="0"/>
    <x v="4"/>
    <x v="0"/>
    <x v="0"/>
    <x v="6"/>
    <n v="0"/>
    <s v="ter"/>
    <x v="5"/>
    <x v="2"/>
  </r>
  <r>
    <n v="508"/>
    <d v="2022-06-10T00:00:00"/>
    <x v="0"/>
    <x v="1"/>
    <x v="3"/>
    <x v="8"/>
    <n v="0"/>
    <x v="5"/>
    <x v="3"/>
    <x v="0"/>
    <x v="2"/>
    <n v="2356"/>
    <s v="sex"/>
    <x v="5"/>
    <x v="2"/>
  </r>
  <r>
    <n v="509"/>
    <d v="2022-06-25T00:00:00"/>
    <x v="5"/>
    <x v="0"/>
    <x v="3"/>
    <x v="0"/>
    <n v="0"/>
    <x v="0"/>
    <x v="3"/>
    <x v="0"/>
    <x v="4"/>
    <n v="2184"/>
    <s v="sáb"/>
    <x v="5"/>
    <x v="2"/>
  </r>
  <r>
    <n v="510"/>
    <d v="2022-06-26T00:00:00"/>
    <x v="2"/>
    <x v="1"/>
    <x v="0"/>
    <x v="5"/>
    <n v="0"/>
    <x v="4"/>
    <x v="2"/>
    <x v="2"/>
    <x v="2"/>
    <n v="77"/>
    <s v="dom"/>
    <x v="5"/>
    <x v="2"/>
  </r>
  <r>
    <n v="511"/>
    <d v="2022-06-27T00:00:00"/>
    <x v="6"/>
    <x v="0"/>
    <x v="0"/>
    <x v="4"/>
    <n v="0"/>
    <x v="5"/>
    <x v="0"/>
    <x v="1"/>
    <x v="8"/>
    <n v="0"/>
    <s v="seg"/>
    <x v="5"/>
    <x v="2"/>
  </r>
  <r>
    <n v="512"/>
    <d v="2022-06-28T00:00:00"/>
    <x v="6"/>
    <x v="0"/>
    <x v="0"/>
    <x v="2"/>
    <n v="0"/>
    <x v="5"/>
    <x v="0"/>
    <x v="1"/>
    <x v="4"/>
    <n v="0"/>
    <s v="ter"/>
    <x v="5"/>
    <x v="2"/>
  </r>
  <r>
    <n v="513"/>
    <d v="2022-06-28T00:00:00"/>
    <x v="7"/>
    <x v="0"/>
    <x v="3"/>
    <x v="3"/>
    <n v="0"/>
    <x v="5"/>
    <x v="3"/>
    <x v="2"/>
    <x v="2"/>
    <n v="804"/>
    <s v="ter"/>
    <x v="5"/>
    <x v="2"/>
  </r>
  <r>
    <n v="514"/>
    <d v="2022-06-28T00:00:00"/>
    <x v="6"/>
    <x v="0"/>
    <x v="2"/>
    <x v="1"/>
    <n v="0"/>
    <x v="6"/>
    <x v="3"/>
    <x v="1"/>
    <x v="8"/>
    <n v="706"/>
    <s v="ter"/>
    <x v="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1C5E0-3B9A-4247-AA72-D0EAC1DB632C}" name="tabd_local_incidente" cacheId="2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7">
  <location ref="J3:K12" firstHeaderRow="1" firstDataRow="1" firstDataCol="1"/>
  <pivotFields count="15">
    <pivotField dataField="1" showAll="0"/>
    <pivotField numFmtId="166" showAll="0"/>
    <pivotField axis="axisRow" showAll="0">
      <items count="23">
        <item x="8"/>
        <item m="1" x="11"/>
        <item m="1" x="14"/>
        <item m="1" x="18"/>
        <item m="1" x="12"/>
        <item m="1" x="9"/>
        <item m="1" x="20"/>
        <item m="1" x="21"/>
        <item m="1" x="19"/>
        <item x="1"/>
        <item m="1" x="17"/>
        <item m="1" x="15"/>
        <item x="0"/>
        <item m="1" x="16"/>
        <item x="3"/>
        <item x="4"/>
        <item x="5"/>
        <item x="6"/>
        <item m="1" x="10"/>
        <item m="1" x="13"/>
        <item x="2"/>
        <item x="7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2"/>
  </rowFields>
  <rowItems count="9">
    <i>
      <x/>
    </i>
    <i>
      <x v="9"/>
    </i>
    <i>
      <x v="12"/>
    </i>
    <i>
      <x v="14"/>
    </i>
    <i>
      <x v="15"/>
    </i>
    <i>
      <x v="16"/>
    </i>
    <i>
      <x v="17"/>
    </i>
    <i>
      <x v="20"/>
    </i>
    <i>
      <x v="21"/>
    </i>
  </rowItems>
  <colItems count="1">
    <i/>
  </colItems>
  <dataFields count="1">
    <dataField name="Contagem de ID" fld="0" subtotal="count" baseField="2" baseItem="0"/>
  </dataFields>
  <chartFormats count="4"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A16713-DAEA-4F60-BE65-EE5EAA9B9E35}" name="tabd_tipo_Incidente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Tipo">
  <location ref="A3:B13" firstHeaderRow="1" firstDataRow="1" firstDataCol="1"/>
  <pivotFields count="15">
    <pivotField dataField="1" showAll="0"/>
    <pivotField numFmtId="166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20">
        <item m="1" x="15"/>
        <item m="1" x="12"/>
        <item m="1" x="9"/>
        <item m="1" x="10"/>
        <item m="1" x="11"/>
        <item m="1" x="16"/>
        <item m="1" x="17"/>
        <item m="1" x="13"/>
        <item m="1" x="18"/>
        <item x="0"/>
        <item x="1"/>
        <item x="3"/>
        <item m="1" x="14"/>
        <item x="6"/>
        <item x="7"/>
        <item x="8"/>
        <item x="2"/>
        <item x="5"/>
        <item x="4"/>
        <item t="default"/>
      </items>
    </pivotField>
    <pivotField showAll="0"/>
    <pivotField showAll="0"/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5"/>
  </rowFields>
  <rowItems count="10"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Quantidade" fld="0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16FF2-3873-4D03-9467-132AF432A286}" name="tabd_causa_incidente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V3:W13" firstHeaderRow="1" firstDataRow="1" firstDataCol="1"/>
  <pivotFields count="15">
    <pivotField dataField="1" showAll="0"/>
    <pivotField numFmtId="166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20">
        <item m="1" x="15"/>
        <item m="1" x="12"/>
        <item m="1" x="9"/>
        <item m="1" x="10"/>
        <item m="1" x="11"/>
        <item m="1" x="16"/>
        <item m="1" x="17"/>
        <item m="1" x="13"/>
        <item m="1" x="18"/>
        <item x="0"/>
        <item x="1"/>
        <item x="3"/>
        <item m="1" x="14"/>
        <item x="6"/>
        <item x="7"/>
        <item x="8"/>
        <item x="2"/>
        <item x="5"/>
        <item x="4"/>
        <item t="default"/>
      </items>
    </pivotField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5"/>
  </rowFields>
  <rowItems count="10"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Contagem de ID" fld="0" subtotal="count" baseField="5" baseItem="3"/>
  </dataFields>
  <chartFormats count="1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D5F82B-5593-4926-9FB7-B1CEF1831902}" name="tabd_Dias_plant" cacheId="2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1">
  <location ref="M3:N12" firstHeaderRow="1" firstDataRow="1" firstDataCol="1"/>
  <pivotFields count="15">
    <pivotField showAll="0"/>
    <pivotField numFmtId="166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axis="axisRow"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dataFields count="1">
    <dataField name="Soma de Dias Perdido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CC39A-3074-41A2-B2CE-AF1BE410173C}" name="tabd_gasto_mês" cacheId="2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">
  <location ref="G3:H15" firstHeaderRow="1" firstDataRow="1" firstDataCol="1"/>
  <pivotFields count="15">
    <pivotField showAll="0"/>
    <pivotField numFmtId="166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dataField="1" showAll="0"/>
    <pivotField showAll="0"/>
    <pivotField axis="axisRow"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3"/>
  </rowFields>
  <rowItems count="12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Soma de Incident Cost" fld="11" baseField="0" baseItem="0" numFmtId="167"/>
  </dataFields>
  <formats count="2">
    <format dxfId="18">
      <pivotArea outline="0" collapsedLevelsAreSubtotals="1" fieldPosition="0"/>
    </format>
    <format dxfId="17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8E56DC-F6A9-4263-B2E7-0DD4E85A32E1}" name="tabd_report_incidentes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P3:Q8" firstHeaderRow="1" firstDataRow="1" firstDataCol="1"/>
  <pivotFields count="15">
    <pivotField dataField="1" showAll="0"/>
    <pivotField numFmtId="166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axis="axisRow" showAll="0">
      <items count="9">
        <item m="1" x="6"/>
        <item m="1" x="7"/>
        <item m="1" x="5"/>
        <item m="1" x="4"/>
        <item x="0"/>
        <item x="1"/>
        <item x="2"/>
        <item x="3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8"/>
  </rowFields>
  <rowItems count="5"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ntagem de ID" fld="0" subtotal="count" baseField="0" baseItem="123097856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3F4089-801D-4438-B5CE-FAA00FA63646}" name="tabd_dep_incidente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 rowHeaderCaption="Departamento / turno">
  <location ref="D3:E40" firstHeaderRow="1" firstDataRow="1" firstDataCol="1"/>
  <pivotFields count="15">
    <pivotField dataField="1" showAll="0"/>
    <pivotField numFmtId="166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2"/>
        <item x="0"/>
        <item x="1"/>
        <item x="3"/>
        <item t="default"/>
      </items>
    </pivotField>
    <pivotField showAll="0"/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axis="axisRow" showAll="0">
      <items count="7">
        <item m="1" x="4"/>
        <item m="1" x="3"/>
        <item m="1" x="5"/>
        <item x="0"/>
        <item x="1"/>
        <item x="2"/>
        <item t="default"/>
      </items>
    </pivotField>
    <pivotField axis="axisRow"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10"/>
    <field x="9"/>
  </rowFields>
  <rowItems count="37">
    <i>
      <x/>
    </i>
    <i r="1">
      <x v="3"/>
    </i>
    <i r="1">
      <x v="4"/>
    </i>
    <i r="1">
      <x v="5"/>
    </i>
    <i>
      <x v="1"/>
    </i>
    <i r="1">
      <x v="3"/>
    </i>
    <i r="1">
      <x v="4"/>
    </i>
    <i r="1">
      <x v="5"/>
    </i>
    <i>
      <x v="2"/>
    </i>
    <i r="1">
      <x v="3"/>
    </i>
    <i r="1">
      <x v="4"/>
    </i>
    <i r="1">
      <x v="5"/>
    </i>
    <i>
      <x v="3"/>
    </i>
    <i r="1">
      <x v="3"/>
    </i>
    <i r="1">
      <x v="4"/>
    </i>
    <i r="1">
      <x v="5"/>
    </i>
    <i>
      <x v="4"/>
    </i>
    <i r="1">
      <x v="3"/>
    </i>
    <i r="1">
      <x v="4"/>
    </i>
    <i r="1">
      <x v="5"/>
    </i>
    <i>
      <x v="5"/>
    </i>
    <i r="1">
      <x v="3"/>
    </i>
    <i r="1">
      <x v="4"/>
    </i>
    <i r="1">
      <x v="5"/>
    </i>
    <i>
      <x v="6"/>
    </i>
    <i r="1">
      <x v="3"/>
    </i>
    <i r="1">
      <x v="4"/>
    </i>
    <i r="1">
      <x v="5"/>
    </i>
    <i>
      <x v="7"/>
    </i>
    <i r="1">
      <x v="3"/>
    </i>
    <i r="1">
      <x v="4"/>
    </i>
    <i r="1">
      <x v="5"/>
    </i>
    <i>
      <x v="8"/>
    </i>
    <i r="1">
      <x v="3"/>
    </i>
    <i r="1">
      <x v="4"/>
    </i>
    <i r="1">
      <x v="5"/>
    </i>
    <i t="grand">
      <x/>
    </i>
  </rowItems>
  <colItems count="1">
    <i/>
  </colItems>
  <dataFields count="1">
    <dataField name="Quantidade" fld="0" subtotal="count" baseField="0" baseItem="1230978560"/>
  </dataFields>
  <chartFormats count="19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</references>
      </pivotArea>
    </chartFormat>
    <chartFormat chart="3" format="4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3" format="5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</references>
      </pivotArea>
    </chartFormat>
    <chartFormat chart="3" format="6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3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4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5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6"/>
          </reference>
        </references>
      </pivotArea>
    </chartFormat>
    <chartFormat chart="3" format="11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7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8"/>
          </reference>
        </references>
      </pivotArea>
    </chartFormat>
    <chartFormat chart="3" format="13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3" format="14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3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4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5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6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7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7575A-F865-4928-86D8-3525D6F0EF3A}" name="tabd_incidentes_plant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S3:T13" firstHeaderRow="1" firstDataRow="1" firstDataCol="1"/>
  <pivotFields count="15">
    <pivotField dataField="1" showAll="0"/>
    <pivotField numFmtId="166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axis="axisRow"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ntagem de ID" fld="0" subtotal="count" showDataAs="percentOfTotal" baseField="7" baseItem="6" numFmtId="9"/>
  </dataFields>
  <formats count="1">
    <format dxfId="19">
      <pivotArea outline="0" collapsedLevelsAreSubtotals="1" fieldPosition="0"/>
    </format>
  </formats>
  <chartFormats count="10"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Turno" xr10:uid="{58379969-D186-40EF-86DB-72FFE2EC7313}" sourceName="Shift">
  <pivotTables>
    <pivotTable tabId="7" name="tabd_dep_incidente"/>
    <pivotTable tabId="7" name="tabd_Dias_plant"/>
    <pivotTable tabId="7" name="tabd_gasto_mês"/>
    <pivotTable tabId="7" name="tabd_report_incidentes"/>
    <pivotTable tabId="7" name="tabd_incidentes_plant"/>
    <pivotTable tabId="7" name="tabd_causa_incidente"/>
    <pivotTable tabId="7" name="tabd_local_incidente"/>
    <pivotTable tabId="7" name="tabd_tipo_Incidente"/>
  </pivotTables>
  <data>
    <tabular pivotCacheId="1903150463" showMissing="0">
      <items count="6">
        <i x="2" s="1"/>
        <i x="1" s="1"/>
        <i x="0" s="1"/>
        <i x="4" s="1" nd="1"/>
        <i x="3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Localização" xr10:uid="{4F3BEF54-3E55-4594-A2DF-CD19D47CD995}" sourceName="Plant">
  <pivotTables>
    <pivotTable tabId="7" name="tabd_dep_incidente"/>
    <pivotTable tabId="7" name="tabd_gasto_mês"/>
    <pivotTable tabId="7" name="tabd_Dias_plant"/>
    <pivotTable tabId="7" name="tabd_report_incidentes"/>
    <pivotTable tabId="7" name="tabd_local_incidente"/>
    <pivotTable tabId="7" name="tabd_incidentes_plant"/>
    <pivotTable tabId="7" name="tabd_causa_incidente"/>
  </pivotTables>
  <data>
    <tabular pivotCacheId="1903150463">
      <items count="9">
        <i x="1" s="1"/>
        <i x="4" s="1"/>
        <i x="5" s="1"/>
        <i x="2" s="1"/>
        <i x="8" s="1"/>
        <i x="0" s="1"/>
        <i x="7" s="1"/>
        <i x="3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Mês" xr10:uid="{2A5454BA-AB89-441B-B8D9-77457E7D0817}" sourceName="Month">
  <pivotTables>
    <pivotTable tabId="7" name="tabd_gasto_mês"/>
    <pivotTable tabId="7" name="tabd_dep_incidente"/>
    <pivotTable tabId="7" name="tabd_Dias_plant"/>
    <pivotTable tabId="7" name="tabd_local_incidente"/>
    <pivotTable tabId="7" name="tabd_report_incidentes"/>
    <pivotTable tabId="7" name="tabd_incidentes_plant"/>
    <pivotTable tabId="7" name="tabd_causa_incidente"/>
    <pivotTable tabId="7" name="tabd_tipo_Incidente"/>
  </pivotTables>
  <data>
    <tabular pivotCacheId="1903150463">
      <items count="24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6" s="1" nd="1"/>
        <i x="13" s="1" nd="1"/>
        <i x="17" s="1" nd="1"/>
        <i x="22" s="1" nd="1"/>
        <i x="12" s="1" nd="1"/>
        <i x="14" s="1" nd="1"/>
        <i x="15" s="1" nd="1"/>
        <i x="18" s="1" nd="1"/>
        <i x="19" s="1" nd="1"/>
        <i x="20" s="1" nd="1"/>
        <i x="21" s="1" nd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Departmento" xr10:uid="{CA6F9EB5-0C00-44C2-BAC0-268814E4DE81}" sourceName="Department">
  <pivotTables>
    <pivotTable tabId="7" name="tabd_dep_incidente"/>
    <pivotTable tabId="7" name="tabd_Dias_plant"/>
    <pivotTable tabId="7" name="tabd_gasto_mês"/>
    <pivotTable tabId="7" name="tabd_local_incidente"/>
    <pivotTable tabId="7" name="tabd_report_incidentes"/>
    <pivotTable tabId="7" name="tabd_incidentes_plant"/>
    <pivotTable tabId="7" name="tabd_causa_incidente"/>
    <pivotTable tabId="7" name="tabd_tipo_Incidente"/>
  </pivotTables>
  <data>
    <tabular pivotCacheId="1903150463">
      <items count="9">
        <i x="2" s="1"/>
        <i x="1" s="1"/>
        <i x="7" s="1"/>
        <i x="5" s="1"/>
        <i x="8" s="1"/>
        <i x="0" s="1"/>
        <i x="4" s="1"/>
        <i x="3" s="1"/>
        <i x="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Ano" xr10:uid="{DD189B15-AD6C-45E3-A77F-ED848F477FB4}" sourceName="Year">
  <pivotTables>
    <pivotTable tabId="7" name="tabd_gasto_mês"/>
    <pivotTable tabId="7" name="tabd_dep_incidente"/>
    <pivotTable tabId="7" name="tabd_Dias_plant"/>
    <pivotTable tabId="7" name="tabd_local_incidente"/>
    <pivotTable tabId="7" name="tabd_report_incidentes"/>
    <pivotTable tabId="7" name="tabd_incidentes_plant"/>
    <pivotTable tabId="7" name="tabd_causa_incidente"/>
    <pivotTable tabId="7" name="tabd_tipo_Incidente"/>
  </pivotTables>
  <data>
    <tabular pivotCacheId="1903150463">
      <items count="3">
        <i x="0" s="1"/>
        <i x="1" s="1"/>
        <i x="2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Tipo" xr10:uid="{7422DC62-2564-49C0-887E-54C62A800390}" sourceName="Report Type">
  <pivotTables>
    <pivotTable tabId="7" name="tabd_gasto_mês"/>
    <pivotTable tabId="7" name="tabd_Dias_plant"/>
    <pivotTable tabId="7" name="tabd_causa_incidente"/>
    <pivotTable tabId="7" name="tabd_dep_incidente"/>
    <pivotTable tabId="7" name="tabd_incidentes_plant"/>
    <pivotTable tabId="7" name="tabd_local_incidente"/>
    <pivotTable tabId="7" name="tabd_report_incidentes"/>
    <pivotTable tabId="7" name="tabd_tipo_Incidente"/>
  </pivotTables>
  <data>
    <tabular pivotCacheId="1903150463">
      <items count="8">
        <i x="3" s="1"/>
        <i x="2" s="1"/>
        <i x="0" s="1"/>
        <i x="1" s="1"/>
        <i x="6" s="1" nd="1"/>
        <i x="7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Idade" xr10:uid="{DB34DF2D-8B4B-4074-983D-BF7F64D344FC}" sourceName="Age Group">
  <pivotTables>
    <pivotTable tabId="7" name="tabd_dep_incidente"/>
  </pivotTables>
  <data>
    <tabular pivotCacheId="1903150463">
      <items count="4">
        <i x="2" s="1"/>
        <i x="0" s="1"/>
        <i x="1" s="1"/>
        <i x="3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genero" xr10:uid="{7AA2C026-6154-4AAA-A4E5-A808EA6A5A83}" sourceName="Gender">
  <pivotTables>
    <pivotTable tabId="7" name="tabd_dep_incidente"/>
    <pivotTable tabId="7" name="tabd_causa_incidente"/>
    <pivotTable tabId="7" name="tabd_Dias_plant"/>
    <pivotTable tabId="7" name="tabd_gasto_mês"/>
    <pivotTable tabId="7" name="tabd_incidentes_plant"/>
    <pivotTable tabId="7" name="tabd_local_incidente"/>
    <pivotTable tabId="7" name="tabd_report_incidentes"/>
    <pivotTable tabId="7" name="tabd_tipo_Incidente"/>
  </pivotTables>
  <data>
    <tabular pivotCacheId="190315046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LocalDano" xr10:uid="{01D04656-10EF-4F5D-A3AC-20A141EB74BD}" sourceName="Injured part">
  <pivotTables>
    <pivotTable tabId="7" name="tabd_dep_incidente"/>
    <pivotTable tabId="7" name="tabd_causa_incidente"/>
    <pivotTable tabId="7" name="tabd_Dias_plant"/>
    <pivotTable tabId="7" name="tabd_gasto_mês"/>
    <pivotTable tabId="7" name="tabd_incidentes_plant"/>
    <pivotTable tabId="7" name="tabd_local_incidente"/>
    <pivotTable tabId="7" name="tabd_report_incidentes"/>
    <pivotTable tabId="7" name="tabd_tipo_Incidente"/>
  </pivotTables>
  <data>
    <tabular pivotCacheId="1903150463">
      <items count="22">
        <i x="8" s="1"/>
        <i x="6" s="1"/>
        <i x="2" s="1"/>
        <i x="0" s="1"/>
        <i x="1" s="1"/>
        <i x="3" s="1"/>
        <i x="5" s="1"/>
        <i x="4" s="1"/>
        <i x="7" s="1"/>
        <i x="11" s="1" nd="1"/>
        <i x="14" s="1" nd="1"/>
        <i x="10" s="1" nd="1"/>
        <i x="18" s="1" nd="1"/>
        <i x="12" s="1" nd="1"/>
        <i x="9" s="1" nd="1"/>
        <i x="20" s="1" nd="1"/>
        <i x="21" s="1" nd="1"/>
        <i x="13" s="1" nd="1"/>
        <i x="19" s="1" nd="1"/>
        <i x="17" s="1" nd="1"/>
        <i x="16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urno" xr10:uid="{4164262A-C5E8-4ABA-9970-849F9A47C39C}" cache="seg_Turno" caption="Turno" showCaption="0" rowHeight="241300"/>
  <slicer name="Localização" xr10:uid="{341D2B46-CC95-4E41-842C-E67E067EB761}" cache="seg_Localização" caption="Localização" columnCount="2" showCaption="0" rowHeight="241300"/>
  <slicer name="Month" xr10:uid="{2BA82443-80AD-4F36-A703-131B440D8B9A}" cache="seg_Mês" caption="Month" columnCount="4" showCaption="0" rowHeight="241300"/>
  <slicer name="Department" xr10:uid="{F23DBA87-799B-4A91-BC15-F340E21A50FF}" cache="seg_Departmento" caption="Departamento" showCaption="0" rowHeight="241300"/>
  <slicer name="Year" xr10:uid="{7C643929-718E-4196-B082-E2A9B13F990E}" cache="seg_Ano" caption="Year" columnCount="3" showCaption="0" rowHeight="241300"/>
  <slicer name="Report Type 1" xr10:uid="{2A30C05C-70E6-42A9-965D-609343D04BEA}" cache="seg_Tipo" caption="Report Type" rowHeight="241300"/>
  <slicer name="Age Group" xr10:uid="{04C10238-448C-4F31-B7EB-1D81BAE07A70}" cache="seg_Idade" caption="Age Group" showCaption="0" rowHeight="241300"/>
  <slicer name="Gender" xr10:uid="{37BF5AB0-580D-4D18-88B6-5F33A693A049}" cache="seg_genero" caption="Gender" rowHeight="241300"/>
  <slicer name="Injured part" xr10:uid="{E64583A1-CE8B-4A12-8F19-97D57855534E}" cache="seg_LocalDano" caption="Injured part" showCaption="0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d_Main" displayName="bd_Main" ref="A1:O515" totalsRowShown="0" headerRowDxfId="16" dataDxfId="15">
  <autoFilter ref="A1:O515" xr:uid="{00000000-0009-0000-0100-000001000000}"/>
  <sortState xmlns:xlrd2="http://schemas.microsoft.com/office/spreadsheetml/2017/richdata2" ref="B2:O611">
    <sortCondition ref="B424"/>
  </sortState>
  <tableColumns count="15">
    <tableColumn id="16" xr3:uid="{4C57E39A-B263-4781-A320-0B1458D54C19}" name="ID" dataDxfId="14">
      <calculatedColumnFormula>ROW(A2)-1</calculatedColumnFormula>
    </tableColumn>
    <tableColumn id="1" xr3:uid="{00000000-0010-0000-0000-000001000000}" name="Data" dataDxfId="13"/>
    <tableColumn id="5" xr3:uid="{00000000-0010-0000-0000-000005000000}" name="Injured part" dataDxfId="12"/>
    <tableColumn id="6" xr3:uid="{00000000-0010-0000-0000-000006000000}" name="Gender" dataDxfId="11"/>
    <tableColumn id="7" xr3:uid="{00000000-0010-0000-0000-000007000000}" name="Age Group" dataDxfId="10"/>
    <tableColumn id="8" xr3:uid="{00000000-0010-0000-0000-000008000000}" name="Incident Type" dataDxfId="9"/>
    <tableColumn id="9" xr3:uid="{00000000-0010-0000-0000-000009000000}" name="Dias Perdidos" dataDxfId="8"/>
    <tableColumn id="10" xr3:uid="{00000000-0010-0000-0000-00000A000000}" name="Plant" dataDxfId="7"/>
    <tableColumn id="11" xr3:uid="{00000000-0010-0000-0000-00000B000000}" name="Report Type" dataDxfId="6"/>
    <tableColumn id="12" xr3:uid="{00000000-0010-0000-0000-00000C000000}" name="Shift" dataDxfId="5"/>
    <tableColumn id="13" xr3:uid="{00000000-0010-0000-0000-00000D000000}" name="Department" dataDxfId="4"/>
    <tableColumn id="14" xr3:uid="{00000000-0010-0000-0000-00000E000000}" name="Incident Cost" dataDxfId="3"/>
    <tableColumn id="2" xr3:uid="{00000000-0010-0000-0000-000002000000}" name="Dia" dataDxfId="2">
      <calculatedColumnFormula>TEXT(bd_Main[[#This Row],[Data]],"ddd")</calculatedColumnFormula>
    </tableColumn>
    <tableColumn id="3" xr3:uid="{00000000-0010-0000-0000-000003000000}" name="Month" dataDxfId="1">
      <calculatedColumnFormula>TEXT(bd_Main[[#This Row],[Data]],"MMM")</calculatedColumnFormula>
    </tableColumn>
    <tableColumn id="4" xr3:uid="{00000000-0010-0000-0000-000004000000}" name="Year" dataDxfId="0">
      <calculatedColumnFormula>TEXT(bd_Main[[#This Row],[Data]],"AAAA")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914F-2B05-47C7-9812-17AE707505C5}">
  <sheetPr codeName="Planilha4">
    <tabColor theme="4" tint="-0.249977111117893"/>
  </sheetPr>
  <dimension ref="A1"/>
  <sheetViews>
    <sheetView zoomScale="106" zoomScaleNormal="106" workbookViewId="0"/>
  </sheetViews>
  <sheetFormatPr defaultRowHeight="15" x14ac:dyDescent="0.25"/>
  <cols>
    <col min="9" max="9" width="9" customWidth="1"/>
  </cols>
  <sheetData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87C3-EA42-4D2F-83A3-0D473574E6D0}">
  <sheetPr codeName="Planilha1">
    <tabColor theme="4" tint="-0.249977111117893"/>
  </sheetPr>
  <dimension ref="AH1:AH2"/>
  <sheetViews>
    <sheetView topLeftCell="A2" zoomScale="70" zoomScaleNormal="70" workbookViewId="0"/>
  </sheetViews>
  <sheetFormatPr defaultRowHeight="15" x14ac:dyDescent="0.25"/>
  <cols>
    <col min="10" max="10" width="9.140625" customWidth="1"/>
    <col min="34" max="34" width="19.42578125" bestFit="1" customWidth="1"/>
  </cols>
  <sheetData>
    <row r="1" spans="34:34" x14ac:dyDescent="0.25">
      <c r="AH1" s="19"/>
    </row>
    <row r="2" spans="34:34" x14ac:dyDescent="0.25">
      <c r="AH2" s="2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F15A2-76F6-4845-9240-1C5D684D7C33}">
  <sheetPr codeName="Planilha3">
    <tabColor theme="4" tint="0.59999389629810485"/>
  </sheetPr>
  <dimension ref="A1:W40"/>
  <sheetViews>
    <sheetView tabSelected="1" zoomScale="80" zoomScaleNormal="80" workbookViewId="0">
      <selection activeCell="K18" sqref="K18"/>
    </sheetView>
  </sheetViews>
  <sheetFormatPr defaultRowHeight="15" x14ac:dyDescent="0.25"/>
  <cols>
    <col min="1" max="1" width="17.85546875" bestFit="1" customWidth="1"/>
    <col min="2" max="2" width="11.42578125" bestFit="1" customWidth="1"/>
    <col min="3" max="3" width="6.28515625" customWidth="1"/>
    <col min="4" max="4" width="23.85546875" bestFit="1" customWidth="1"/>
    <col min="5" max="5" width="11.42578125" bestFit="1" customWidth="1"/>
    <col min="7" max="7" width="18.7109375" bestFit="1" customWidth="1"/>
    <col min="8" max="8" width="22.42578125" style="28" bestFit="1" customWidth="1"/>
    <col min="10" max="10" width="18.7109375" bestFit="1" customWidth="1"/>
    <col min="11" max="11" width="15.5703125" bestFit="1" customWidth="1"/>
    <col min="13" max="13" width="18.7109375" bestFit="1" customWidth="1"/>
    <col min="14" max="14" width="21.7109375" bestFit="1" customWidth="1"/>
    <col min="16" max="16" width="19.85546875" bestFit="1" customWidth="1"/>
    <col min="17" max="17" width="15.5703125" bestFit="1" customWidth="1"/>
    <col min="19" max="19" width="18.7109375" bestFit="1" customWidth="1"/>
    <col min="20" max="20" width="15.5703125" bestFit="1" customWidth="1"/>
    <col min="22" max="22" width="18.7109375" bestFit="1" customWidth="1"/>
    <col min="23" max="23" width="15.5703125" bestFit="1" customWidth="1"/>
  </cols>
  <sheetData>
    <row r="1" spans="1:23" ht="94.5" customHeight="1" x14ac:dyDescent="0.25">
      <c r="A1" s="34"/>
      <c r="B1" s="34"/>
      <c r="C1" s="34"/>
      <c r="D1" s="34"/>
      <c r="E1" s="34"/>
      <c r="F1" s="34"/>
      <c r="G1" s="34"/>
      <c r="H1" s="59" t="s">
        <v>106</v>
      </c>
      <c r="I1" s="60"/>
      <c r="J1" s="60"/>
      <c r="K1" s="61"/>
    </row>
    <row r="2" spans="1:23" x14ac:dyDescent="0.25">
      <c r="A2" s="35" t="s">
        <v>36</v>
      </c>
      <c r="B2" s="36"/>
      <c r="C2" s="12"/>
      <c r="D2" s="35" t="s">
        <v>43</v>
      </c>
      <c r="E2" s="36"/>
      <c r="G2" s="35" t="s">
        <v>60</v>
      </c>
      <c r="H2" s="57"/>
      <c r="J2" s="58" t="s">
        <v>100</v>
      </c>
      <c r="K2" s="57"/>
      <c r="M2" s="35" t="s">
        <v>59</v>
      </c>
      <c r="N2" s="36"/>
      <c r="P2" s="35" t="s">
        <v>77</v>
      </c>
      <c r="Q2" s="36"/>
      <c r="S2" s="35" t="s">
        <v>58</v>
      </c>
      <c r="T2" s="36"/>
      <c r="V2" s="35" t="s">
        <v>78</v>
      </c>
      <c r="W2" s="36"/>
    </row>
    <row r="3" spans="1:23" x14ac:dyDescent="0.25">
      <c r="A3" s="9" t="s">
        <v>40</v>
      </c>
      <c r="B3" t="s">
        <v>41</v>
      </c>
      <c r="D3" s="9" t="s">
        <v>42</v>
      </c>
      <c r="E3" t="s">
        <v>41</v>
      </c>
      <c r="G3" s="9" t="s">
        <v>37</v>
      </c>
      <c r="H3" s="13" t="s">
        <v>44</v>
      </c>
      <c r="J3" s="9" t="s">
        <v>37</v>
      </c>
      <c r="K3" t="s">
        <v>39</v>
      </c>
      <c r="M3" s="9" t="s">
        <v>37</v>
      </c>
      <c r="N3" t="s">
        <v>73</v>
      </c>
      <c r="P3" s="9" t="s">
        <v>37</v>
      </c>
      <c r="Q3" t="s">
        <v>39</v>
      </c>
      <c r="S3" s="9" t="s">
        <v>37</v>
      </c>
      <c r="T3" t="s">
        <v>39</v>
      </c>
      <c r="V3" s="9" t="s">
        <v>37</v>
      </c>
      <c r="W3" t="s">
        <v>39</v>
      </c>
    </row>
    <row r="4" spans="1:23" x14ac:dyDescent="0.25">
      <c r="A4" s="10" t="s">
        <v>79</v>
      </c>
      <c r="B4" s="11">
        <v>65</v>
      </c>
      <c r="D4" s="10" t="s">
        <v>19</v>
      </c>
      <c r="E4" s="11">
        <v>63</v>
      </c>
      <c r="G4" s="10" t="s">
        <v>45</v>
      </c>
      <c r="H4" s="13">
        <v>63033</v>
      </c>
      <c r="J4" s="10" t="s">
        <v>33</v>
      </c>
      <c r="K4" s="11">
        <v>39</v>
      </c>
      <c r="M4" s="10" t="s">
        <v>15</v>
      </c>
      <c r="N4" s="11">
        <v>36.5</v>
      </c>
      <c r="P4" s="10" t="s">
        <v>61</v>
      </c>
      <c r="Q4" s="11">
        <v>139</v>
      </c>
      <c r="S4" s="10" t="s">
        <v>15</v>
      </c>
      <c r="T4" s="18">
        <v>0.10505836575875487</v>
      </c>
      <c r="V4" s="10" t="s">
        <v>79</v>
      </c>
      <c r="W4" s="11">
        <v>65</v>
      </c>
    </row>
    <row r="5" spans="1:23" x14ac:dyDescent="0.25">
      <c r="A5" s="10" t="s">
        <v>82</v>
      </c>
      <c r="B5" s="11">
        <v>50</v>
      </c>
      <c r="D5" s="27" t="s">
        <v>70</v>
      </c>
      <c r="E5" s="11">
        <v>23</v>
      </c>
      <c r="G5" s="10" t="s">
        <v>46</v>
      </c>
      <c r="H5" s="13">
        <v>81133</v>
      </c>
      <c r="J5" s="10" t="s">
        <v>13</v>
      </c>
      <c r="K5" s="11">
        <v>42</v>
      </c>
      <c r="M5" s="10" t="s">
        <v>24</v>
      </c>
      <c r="N5" s="11">
        <v>38.5</v>
      </c>
      <c r="P5" s="10" t="s">
        <v>62</v>
      </c>
      <c r="Q5" s="11">
        <v>133</v>
      </c>
      <c r="S5" s="10" t="s">
        <v>24</v>
      </c>
      <c r="T5" s="18">
        <v>0.10505836575875487</v>
      </c>
      <c r="V5" s="10" t="s">
        <v>82</v>
      </c>
      <c r="W5" s="11">
        <v>50</v>
      </c>
    </row>
    <row r="6" spans="1:23" x14ac:dyDescent="0.25">
      <c r="A6" s="10" t="s">
        <v>80</v>
      </c>
      <c r="B6" s="11">
        <v>55</v>
      </c>
      <c r="D6" s="27" t="s">
        <v>69</v>
      </c>
      <c r="E6" s="11">
        <v>16</v>
      </c>
      <c r="G6" s="10" t="s">
        <v>47</v>
      </c>
      <c r="H6" s="13">
        <v>63428</v>
      </c>
      <c r="J6" s="10" t="s">
        <v>92</v>
      </c>
      <c r="K6" s="11">
        <v>45</v>
      </c>
      <c r="M6" s="10" t="s">
        <v>25</v>
      </c>
      <c r="N6" s="11">
        <v>43.5</v>
      </c>
      <c r="P6" s="10" t="s">
        <v>63</v>
      </c>
      <c r="Q6" s="11">
        <v>114</v>
      </c>
      <c r="S6" s="10" t="s">
        <v>25</v>
      </c>
      <c r="T6" s="18">
        <v>0.11478599221789883</v>
      </c>
      <c r="V6" s="10" t="s">
        <v>80</v>
      </c>
      <c r="W6" s="11">
        <v>55</v>
      </c>
    </row>
    <row r="7" spans="1:23" x14ac:dyDescent="0.25">
      <c r="A7" s="10" t="s">
        <v>81</v>
      </c>
      <c r="B7" s="11">
        <v>63</v>
      </c>
      <c r="D7" s="27" t="s">
        <v>71</v>
      </c>
      <c r="E7" s="11">
        <v>24</v>
      </c>
      <c r="G7" s="10" t="s">
        <v>48</v>
      </c>
      <c r="H7" s="13">
        <v>84766</v>
      </c>
      <c r="J7" s="10" t="s">
        <v>90</v>
      </c>
      <c r="K7" s="11">
        <v>46</v>
      </c>
      <c r="M7" s="10" t="s">
        <v>18</v>
      </c>
      <c r="N7" s="11">
        <v>38.5</v>
      </c>
      <c r="P7" s="10" t="s">
        <v>64</v>
      </c>
      <c r="Q7" s="11">
        <v>128</v>
      </c>
      <c r="S7" s="10" t="s">
        <v>18</v>
      </c>
      <c r="T7" s="18">
        <v>0.11284046692607004</v>
      </c>
      <c r="V7" s="10" t="s">
        <v>81</v>
      </c>
      <c r="W7" s="11">
        <v>63</v>
      </c>
    </row>
    <row r="8" spans="1:23" x14ac:dyDescent="0.25">
      <c r="A8" s="10" t="s">
        <v>83</v>
      </c>
      <c r="B8" s="11">
        <v>55</v>
      </c>
      <c r="D8" s="10" t="s">
        <v>16</v>
      </c>
      <c r="E8" s="11">
        <v>50</v>
      </c>
      <c r="G8" s="10" t="s">
        <v>49</v>
      </c>
      <c r="H8" s="13">
        <v>58728</v>
      </c>
      <c r="J8" s="10" t="s">
        <v>91</v>
      </c>
      <c r="K8" s="11">
        <v>30</v>
      </c>
      <c r="M8" s="10" t="s">
        <v>32</v>
      </c>
      <c r="N8" s="11">
        <v>31</v>
      </c>
      <c r="P8" s="10" t="s">
        <v>38</v>
      </c>
      <c r="Q8" s="11">
        <v>514</v>
      </c>
      <c r="S8" s="10" t="s">
        <v>32</v>
      </c>
      <c r="T8" s="18">
        <v>0.11867704280155641</v>
      </c>
      <c r="V8" s="10" t="s">
        <v>83</v>
      </c>
      <c r="W8" s="11">
        <v>55</v>
      </c>
    </row>
    <row r="9" spans="1:23" x14ac:dyDescent="0.25">
      <c r="A9" s="10" t="s">
        <v>84</v>
      </c>
      <c r="B9" s="11">
        <v>62</v>
      </c>
      <c r="D9" s="27" t="s">
        <v>70</v>
      </c>
      <c r="E9" s="11">
        <v>16</v>
      </c>
      <c r="G9" s="10" t="s">
        <v>50</v>
      </c>
      <c r="H9" s="13">
        <v>64087</v>
      </c>
      <c r="J9" s="10" t="s">
        <v>93</v>
      </c>
      <c r="K9" s="11">
        <v>49</v>
      </c>
      <c r="M9" s="10" t="s">
        <v>11</v>
      </c>
      <c r="N9" s="11">
        <v>46</v>
      </c>
      <c r="S9" s="10" t="s">
        <v>11</v>
      </c>
      <c r="T9" s="18">
        <v>0.10116731517509728</v>
      </c>
      <c r="V9" s="10" t="s">
        <v>84</v>
      </c>
      <c r="W9" s="11">
        <v>62</v>
      </c>
    </row>
    <row r="10" spans="1:23" x14ac:dyDescent="0.25">
      <c r="A10" s="10" t="s">
        <v>85</v>
      </c>
      <c r="B10" s="11">
        <v>58</v>
      </c>
      <c r="D10" s="27" t="s">
        <v>69</v>
      </c>
      <c r="E10" s="11">
        <v>13</v>
      </c>
      <c r="G10" s="10" t="s">
        <v>51</v>
      </c>
      <c r="H10" s="13">
        <v>69669</v>
      </c>
      <c r="J10" s="10" t="s">
        <v>95</v>
      </c>
      <c r="K10" s="11">
        <v>83</v>
      </c>
      <c r="M10" s="10" t="s">
        <v>30</v>
      </c>
      <c r="N10" s="11">
        <v>43.5</v>
      </c>
      <c r="S10" s="10" t="s">
        <v>30</v>
      </c>
      <c r="T10" s="18">
        <v>0.1245136186770428</v>
      </c>
      <c r="V10" s="10" t="s">
        <v>85</v>
      </c>
      <c r="W10" s="11">
        <v>58</v>
      </c>
    </row>
    <row r="11" spans="1:23" x14ac:dyDescent="0.25">
      <c r="A11" s="10" t="s">
        <v>86</v>
      </c>
      <c r="B11" s="11">
        <v>47</v>
      </c>
      <c r="D11" s="27" t="s">
        <v>71</v>
      </c>
      <c r="E11" s="11">
        <v>21</v>
      </c>
      <c r="G11" s="10" t="s">
        <v>52</v>
      </c>
      <c r="H11" s="13">
        <v>44947</v>
      </c>
      <c r="J11" s="10" t="s">
        <v>94</v>
      </c>
      <c r="K11" s="11">
        <v>89</v>
      </c>
      <c r="M11" s="10" t="s">
        <v>21</v>
      </c>
      <c r="N11" s="11">
        <v>44.5</v>
      </c>
      <c r="S11" s="10" t="s">
        <v>21</v>
      </c>
      <c r="T11" s="18">
        <v>0.10894941634241245</v>
      </c>
      <c r="V11" s="10" t="s">
        <v>86</v>
      </c>
      <c r="W11" s="11">
        <v>47</v>
      </c>
    </row>
    <row r="12" spans="1:23" x14ac:dyDescent="0.25">
      <c r="A12" s="10" t="s">
        <v>87</v>
      </c>
      <c r="B12" s="11">
        <v>59</v>
      </c>
      <c r="D12" s="10" t="s">
        <v>28</v>
      </c>
      <c r="E12" s="11">
        <v>56</v>
      </c>
      <c r="G12" s="10" t="s">
        <v>53</v>
      </c>
      <c r="H12" s="13">
        <v>35339</v>
      </c>
      <c r="J12" s="10" t="s">
        <v>96</v>
      </c>
      <c r="K12" s="11">
        <v>91</v>
      </c>
      <c r="M12" s="10" t="s">
        <v>29</v>
      </c>
      <c r="N12" s="11">
        <v>56.5</v>
      </c>
      <c r="S12" s="10" t="s">
        <v>29</v>
      </c>
      <c r="T12" s="18">
        <v>0.10894941634241245</v>
      </c>
      <c r="V12" s="10" t="s">
        <v>87</v>
      </c>
      <c r="W12" s="11">
        <v>59</v>
      </c>
    </row>
    <row r="13" spans="1:23" x14ac:dyDescent="0.25">
      <c r="A13" s="10" t="s">
        <v>38</v>
      </c>
      <c r="B13" s="11">
        <v>514</v>
      </c>
      <c r="D13" s="27" t="s">
        <v>70</v>
      </c>
      <c r="E13" s="11">
        <v>14</v>
      </c>
      <c r="G13" s="10" t="s">
        <v>54</v>
      </c>
      <c r="H13" s="13">
        <v>45447</v>
      </c>
      <c r="S13" s="10" t="s">
        <v>38</v>
      </c>
      <c r="T13" s="18">
        <v>1</v>
      </c>
      <c r="V13" s="10" t="s">
        <v>38</v>
      </c>
      <c r="W13" s="11">
        <v>514</v>
      </c>
    </row>
    <row r="14" spans="1:23" x14ac:dyDescent="0.25">
      <c r="D14" s="27" t="s">
        <v>69</v>
      </c>
      <c r="E14" s="11">
        <v>21</v>
      </c>
      <c r="G14" s="10" t="s">
        <v>55</v>
      </c>
      <c r="H14" s="13">
        <v>50504</v>
      </c>
    </row>
    <row r="15" spans="1:23" x14ac:dyDescent="0.25">
      <c r="D15" s="27" t="s">
        <v>71</v>
      </c>
      <c r="E15" s="11">
        <v>21</v>
      </c>
      <c r="G15" s="10" t="s">
        <v>56</v>
      </c>
      <c r="H15" s="13">
        <v>56714</v>
      </c>
    </row>
    <row r="16" spans="1:23" x14ac:dyDescent="0.25">
      <c r="D16" s="10" t="s">
        <v>26</v>
      </c>
      <c r="E16" s="11">
        <v>62</v>
      </c>
    </row>
    <row r="17" spans="4:5" x14ac:dyDescent="0.25">
      <c r="D17" s="27" t="s">
        <v>70</v>
      </c>
      <c r="E17" s="11">
        <v>23</v>
      </c>
    </row>
    <row r="18" spans="4:5" x14ac:dyDescent="0.25">
      <c r="D18" s="27" t="s">
        <v>69</v>
      </c>
      <c r="E18" s="11">
        <v>20</v>
      </c>
    </row>
    <row r="19" spans="4:5" x14ac:dyDescent="0.25">
      <c r="D19" s="27" t="s">
        <v>71</v>
      </c>
      <c r="E19" s="11">
        <v>19</v>
      </c>
    </row>
    <row r="20" spans="4:5" x14ac:dyDescent="0.25">
      <c r="D20" s="10" t="s">
        <v>31</v>
      </c>
      <c r="E20" s="11">
        <v>55</v>
      </c>
    </row>
    <row r="21" spans="4:5" x14ac:dyDescent="0.25">
      <c r="D21" s="27" t="s">
        <v>70</v>
      </c>
      <c r="E21" s="11">
        <v>16</v>
      </c>
    </row>
    <row r="22" spans="4:5" x14ac:dyDescent="0.25">
      <c r="D22" s="27" t="s">
        <v>69</v>
      </c>
      <c r="E22" s="11">
        <v>22</v>
      </c>
    </row>
    <row r="23" spans="4:5" x14ac:dyDescent="0.25">
      <c r="D23" s="27" t="s">
        <v>71</v>
      </c>
      <c r="E23" s="11">
        <v>17</v>
      </c>
    </row>
    <row r="24" spans="4:5" x14ac:dyDescent="0.25">
      <c r="D24" s="10" t="s">
        <v>12</v>
      </c>
      <c r="E24" s="11">
        <v>60</v>
      </c>
    </row>
    <row r="25" spans="4:5" x14ac:dyDescent="0.25">
      <c r="D25" s="27" t="s">
        <v>70</v>
      </c>
      <c r="E25" s="11">
        <v>22</v>
      </c>
    </row>
    <row r="26" spans="4:5" x14ac:dyDescent="0.25">
      <c r="D26" s="27" t="s">
        <v>69</v>
      </c>
      <c r="E26" s="11">
        <v>22</v>
      </c>
    </row>
    <row r="27" spans="4:5" x14ac:dyDescent="0.25">
      <c r="D27" s="27" t="s">
        <v>71</v>
      </c>
      <c r="E27" s="11">
        <v>16</v>
      </c>
    </row>
    <row r="28" spans="4:5" x14ac:dyDescent="0.25">
      <c r="D28" s="10" t="s">
        <v>23</v>
      </c>
      <c r="E28" s="11">
        <v>43</v>
      </c>
    </row>
    <row r="29" spans="4:5" x14ac:dyDescent="0.25">
      <c r="D29" s="27" t="s">
        <v>70</v>
      </c>
      <c r="E29" s="11">
        <v>16</v>
      </c>
    </row>
    <row r="30" spans="4:5" x14ac:dyDescent="0.25">
      <c r="D30" s="27" t="s">
        <v>69</v>
      </c>
      <c r="E30" s="11">
        <v>13</v>
      </c>
    </row>
    <row r="31" spans="4:5" x14ac:dyDescent="0.25">
      <c r="D31" s="27" t="s">
        <v>71</v>
      </c>
      <c r="E31" s="11">
        <v>14</v>
      </c>
    </row>
    <row r="32" spans="4:5" x14ac:dyDescent="0.25">
      <c r="D32" s="10" t="s">
        <v>22</v>
      </c>
      <c r="E32" s="11">
        <v>57</v>
      </c>
    </row>
    <row r="33" spans="4:5" x14ac:dyDescent="0.25">
      <c r="D33" s="27" t="s">
        <v>70</v>
      </c>
      <c r="E33" s="11">
        <v>24</v>
      </c>
    </row>
    <row r="34" spans="4:5" x14ac:dyDescent="0.25">
      <c r="D34" s="27" t="s">
        <v>69</v>
      </c>
      <c r="E34" s="11">
        <v>14</v>
      </c>
    </row>
    <row r="35" spans="4:5" x14ac:dyDescent="0.25">
      <c r="D35" s="27" t="s">
        <v>71</v>
      </c>
      <c r="E35" s="11">
        <v>19</v>
      </c>
    </row>
    <row r="36" spans="4:5" x14ac:dyDescent="0.25">
      <c r="D36" s="10" t="s">
        <v>27</v>
      </c>
      <c r="E36" s="11">
        <v>68</v>
      </c>
    </row>
    <row r="37" spans="4:5" x14ac:dyDescent="0.25">
      <c r="D37" s="27" t="s">
        <v>70</v>
      </c>
      <c r="E37" s="11">
        <v>25</v>
      </c>
    </row>
    <row r="38" spans="4:5" x14ac:dyDescent="0.25">
      <c r="D38" s="27" t="s">
        <v>69</v>
      </c>
      <c r="E38" s="11">
        <v>18</v>
      </c>
    </row>
    <row r="39" spans="4:5" x14ac:dyDescent="0.25">
      <c r="D39" s="27" t="s">
        <v>71</v>
      </c>
      <c r="E39" s="11">
        <v>25</v>
      </c>
    </row>
    <row r="40" spans="4:5" x14ac:dyDescent="0.25">
      <c r="D40" s="10" t="s">
        <v>38</v>
      </c>
      <c r="E40" s="11">
        <v>514</v>
      </c>
    </row>
  </sheetData>
  <mergeCells count="10">
    <mergeCell ref="A1:G1"/>
    <mergeCell ref="V2:W2"/>
    <mergeCell ref="S2:T2"/>
    <mergeCell ref="P2:Q2"/>
    <mergeCell ref="A2:B2"/>
    <mergeCell ref="D2:E2"/>
    <mergeCell ref="G2:H2"/>
    <mergeCell ref="J2:K2"/>
    <mergeCell ref="M2:N2"/>
    <mergeCell ref="H1:K1"/>
  </mergeCells>
  <pageMargins left="0.511811024" right="0.511811024" top="0.78740157499999996" bottom="0.78740157499999996" header="0.31496062000000002" footer="0.31496062000000002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14999847407452621"/>
  </sheetPr>
  <dimension ref="A1:O515"/>
  <sheetViews>
    <sheetView workbookViewId="0">
      <pane ySplit="1" topLeftCell="A2" activePane="bottomLeft" state="frozen"/>
      <selection pane="bottomLeft" activeCell="K15" sqref="K15"/>
    </sheetView>
  </sheetViews>
  <sheetFormatPr defaultRowHeight="15.75" x14ac:dyDescent="0.25"/>
  <cols>
    <col min="1" max="1" width="11" style="8" customWidth="1"/>
    <col min="2" max="2" width="12.140625" style="3" customWidth="1"/>
    <col min="3" max="3" width="8.42578125" style="3" bestFit="1" customWidth="1"/>
    <col min="4" max="4" width="9.42578125" style="3" bestFit="1" customWidth="1"/>
    <col min="5" max="5" width="14.140625" style="3" bestFit="1" customWidth="1"/>
    <col min="6" max="6" width="26.42578125" style="3" customWidth="1"/>
    <col min="7" max="7" width="10" style="3" bestFit="1" customWidth="1"/>
    <col min="8" max="8" width="14.42578125" style="3" bestFit="1" customWidth="1"/>
    <col min="9" max="9" width="16.5703125" style="3" customWidth="1"/>
    <col min="10" max="10" width="15.140625" style="3" bestFit="1" customWidth="1"/>
    <col min="11" max="11" width="18" style="4" customWidth="1"/>
    <col min="12" max="12" width="13.42578125" style="3" customWidth="1"/>
    <col min="13" max="13" width="10.85546875" style="16" customWidth="1"/>
    <col min="14" max="14" width="14.5703125" style="16" customWidth="1"/>
    <col min="15" max="15" width="9.140625" style="17"/>
    <col min="16" max="16384" width="9.140625" style="1"/>
  </cols>
  <sheetData>
    <row r="1" spans="1:15" ht="31.5" x14ac:dyDescent="0.25">
      <c r="A1" s="6" t="s">
        <v>35</v>
      </c>
      <c r="B1" s="5" t="s">
        <v>34</v>
      </c>
      <c r="C1" s="5" t="s">
        <v>57</v>
      </c>
      <c r="D1" s="5" t="s">
        <v>2</v>
      </c>
      <c r="E1" s="5" t="s">
        <v>3</v>
      </c>
      <c r="F1" s="5" t="s">
        <v>4</v>
      </c>
      <c r="G1" s="5" t="s">
        <v>72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14" t="s">
        <v>76</v>
      </c>
      <c r="N1" s="14" t="s">
        <v>0</v>
      </c>
      <c r="O1" s="14" t="s">
        <v>1</v>
      </c>
    </row>
    <row r="2" spans="1:15" x14ac:dyDescent="0.25">
      <c r="A2" s="7">
        <f t="shared" ref="A2:A65" si="0">ROW(A2)-1</f>
        <v>1</v>
      </c>
      <c r="B2" s="2">
        <v>43831</v>
      </c>
      <c r="C2" s="3" t="s">
        <v>92</v>
      </c>
      <c r="D2" s="3" t="s">
        <v>74</v>
      </c>
      <c r="E2" s="3" t="s">
        <v>10</v>
      </c>
      <c r="F2" s="3" t="s">
        <v>79</v>
      </c>
      <c r="G2" s="3">
        <v>0</v>
      </c>
      <c r="H2" s="3" t="s">
        <v>11</v>
      </c>
      <c r="I2" s="3" t="s">
        <v>61</v>
      </c>
      <c r="J2" s="3" t="s">
        <v>70</v>
      </c>
      <c r="K2" s="3" t="s">
        <v>12</v>
      </c>
      <c r="L2" s="4">
        <v>0</v>
      </c>
      <c r="M2" s="15" t="str">
        <f>TEXT(bd_Main[[#This Row],[Data]],"ddd")</f>
        <v>qua</v>
      </c>
      <c r="N2" s="15" t="str">
        <f>TEXT(bd_Main[[#This Row],[Data]],"MMM")</f>
        <v>jan</v>
      </c>
      <c r="O2" s="15" t="str">
        <f>TEXT(bd_Main[[#This Row],[Data]],"AAAA")</f>
        <v>2020</v>
      </c>
    </row>
    <row r="3" spans="1:15" x14ac:dyDescent="0.25">
      <c r="A3" s="7">
        <f t="shared" si="0"/>
        <v>2</v>
      </c>
      <c r="B3" s="2">
        <v>43833</v>
      </c>
      <c r="C3" s="3" t="s">
        <v>13</v>
      </c>
      <c r="D3" s="3" t="s">
        <v>74</v>
      </c>
      <c r="E3" s="3" t="s">
        <v>14</v>
      </c>
      <c r="F3" s="3" t="s">
        <v>82</v>
      </c>
      <c r="G3" s="3">
        <v>0.5</v>
      </c>
      <c r="H3" s="3" t="s">
        <v>15</v>
      </c>
      <c r="I3" s="3" t="s">
        <v>62</v>
      </c>
      <c r="J3" s="3" t="s">
        <v>70</v>
      </c>
      <c r="K3" s="3" t="s">
        <v>16</v>
      </c>
      <c r="L3" s="4">
        <v>3367</v>
      </c>
      <c r="M3" s="15" t="str">
        <f>TEXT(bd_Main[[#This Row],[Data]],"ddd")</f>
        <v>sex</v>
      </c>
      <c r="N3" s="15" t="str">
        <f>TEXT(bd_Main[[#This Row],[Data]],"MMM")</f>
        <v>jan</v>
      </c>
      <c r="O3" s="15" t="str">
        <f>TEXT(bd_Main[[#This Row],[Data]],"AAAA")</f>
        <v>2020</v>
      </c>
    </row>
    <row r="4" spans="1:15" x14ac:dyDescent="0.25">
      <c r="A4" s="7">
        <f t="shared" si="0"/>
        <v>3</v>
      </c>
      <c r="B4" s="2">
        <v>43833</v>
      </c>
      <c r="C4" s="3" t="s">
        <v>94</v>
      </c>
      <c r="D4" s="3" t="s">
        <v>74</v>
      </c>
      <c r="E4" s="3" t="s">
        <v>17</v>
      </c>
      <c r="F4" s="3" t="s">
        <v>85</v>
      </c>
      <c r="G4" s="3">
        <v>0</v>
      </c>
      <c r="H4" s="3" t="s">
        <v>18</v>
      </c>
      <c r="I4" s="3" t="s">
        <v>61</v>
      </c>
      <c r="J4" s="3" t="s">
        <v>70</v>
      </c>
      <c r="K4" s="3" t="s">
        <v>19</v>
      </c>
      <c r="L4" s="4">
        <v>0</v>
      </c>
      <c r="M4" s="15" t="str">
        <f>TEXT(bd_Main[[#This Row],[Data]],"ddd")</f>
        <v>sex</v>
      </c>
      <c r="N4" s="15" t="str">
        <f>TEXT(bd_Main[[#This Row],[Data]],"MMM")</f>
        <v>jan</v>
      </c>
      <c r="O4" s="15" t="str">
        <f>TEXT(bd_Main[[#This Row],[Data]],"AAAA")</f>
        <v>2020</v>
      </c>
    </row>
    <row r="5" spans="1:15" x14ac:dyDescent="0.25">
      <c r="A5" s="7">
        <f t="shared" si="0"/>
        <v>4</v>
      </c>
      <c r="B5" s="2">
        <v>43834</v>
      </c>
      <c r="C5" s="3" t="s">
        <v>90</v>
      </c>
      <c r="D5" s="3" t="s">
        <v>75</v>
      </c>
      <c r="E5" s="3" t="s">
        <v>20</v>
      </c>
      <c r="F5" s="3" t="s">
        <v>80</v>
      </c>
      <c r="G5" s="3">
        <v>0</v>
      </c>
      <c r="H5" s="3" t="s">
        <v>11</v>
      </c>
      <c r="I5" s="3" t="s">
        <v>61</v>
      </c>
      <c r="J5" s="3" t="s">
        <v>70</v>
      </c>
      <c r="K5" s="3" t="s">
        <v>12</v>
      </c>
      <c r="L5" s="4">
        <v>0</v>
      </c>
      <c r="M5" s="15" t="str">
        <f>TEXT(bd_Main[[#This Row],[Data]],"ddd")</f>
        <v>sáb</v>
      </c>
      <c r="N5" s="15" t="str">
        <f>TEXT(bd_Main[[#This Row],[Data]],"MMM")</f>
        <v>jan</v>
      </c>
      <c r="O5" s="15" t="str">
        <f>TEXT(bd_Main[[#This Row],[Data]],"AAAA")</f>
        <v>2020</v>
      </c>
    </row>
    <row r="6" spans="1:15" x14ac:dyDescent="0.25">
      <c r="A6" s="7">
        <f t="shared" si="0"/>
        <v>5</v>
      </c>
      <c r="B6" s="2">
        <v>43837</v>
      </c>
      <c r="C6" s="3" t="s">
        <v>90</v>
      </c>
      <c r="D6" s="3" t="s">
        <v>74</v>
      </c>
      <c r="E6" s="3" t="s">
        <v>10</v>
      </c>
      <c r="F6" s="3" t="s">
        <v>87</v>
      </c>
      <c r="G6" s="3">
        <v>0</v>
      </c>
      <c r="H6" s="3" t="s">
        <v>21</v>
      </c>
      <c r="I6" s="3" t="s">
        <v>61</v>
      </c>
      <c r="J6" s="3" t="s">
        <v>70</v>
      </c>
      <c r="K6" s="3" t="s">
        <v>12</v>
      </c>
      <c r="L6" s="4">
        <v>0</v>
      </c>
      <c r="M6" s="15" t="str">
        <f>TEXT(bd_Main[[#This Row],[Data]],"ddd")</f>
        <v>ter</v>
      </c>
      <c r="N6" s="15" t="str">
        <f>TEXT(bd_Main[[#This Row],[Data]],"MMM")</f>
        <v>jan</v>
      </c>
      <c r="O6" s="15" t="str">
        <f>TEXT(bd_Main[[#This Row],[Data]],"AAAA")</f>
        <v>2020</v>
      </c>
    </row>
    <row r="7" spans="1:15" x14ac:dyDescent="0.25">
      <c r="A7" s="7">
        <f t="shared" si="0"/>
        <v>6</v>
      </c>
      <c r="B7" s="2">
        <v>43841</v>
      </c>
      <c r="C7" s="3" t="s">
        <v>13</v>
      </c>
      <c r="D7" s="3" t="s">
        <v>75</v>
      </c>
      <c r="E7" s="3" t="s">
        <v>20</v>
      </c>
      <c r="F7" s="3" t="s">
        <v>86</v>
      </c>
      <c r="G7" s="3">
        <v>0</v>
      </c>
      <c r="H7" s="3" t="s">
        <v>18</v>
      </c>
      <c r="I7" s="3" t="s">
        <v>63</v>
      </c>
      <c r="J7" s="3" t="s">
        <v>69</v>
      </c>
      <c r="K7" s="3" t="s">
        <v>22</v>
      </c>
      <c r="L7" s="4">
        <v>132</v>
      </c>
      <c r="M7" s="15" t="str">
        <f>TEXT(bd_Main[[#This Row],[Data]],"ddd")</f>
        <v>sáb</v>
      </c>
      <c r="N7" s="15" t="str">
        <f>TEXT(bd_Main[[#This Row],[Data]],"MMM")</f>
        <v>jan</v>
      </c>
      <c r="O7" s="15" t="str">
        <f>TEXT(bd_Main[[#This Row],[Data]],"AAAA")</f>
        <v>2020</v>
      </c>
    </row>
    <row r="8" spans="1:15" x14ac:dyDescent="0.25">
      <c r="A8" s="7">
        <f t="shared" si="0"/>
        <v>7</v>
      </c>
      <c r="B8" s="2">
        <v>43841</v>
      </c>
      <c r="C8" s="3" t="s">
        <v>91</v>
      </c>
      <c r="D8" s="3" t="s">
        <v>74</v>
      </c>
      <c r="E8" s="3" t="s">
        <v>10</v>
      </c>
      <c r="F8" s="3" t="s">
        <v>86</v>
      </c>
      <c r="G8" s="3">
        <v>3.5</v>
      </c>
      <c r="H8" s="3" t="s">
        <v>11</v>
      </c>
      <c r="I8" s="3" t="s">
        <v>62</v>
      </c>
      <c r="J8" s="3" t="s">
        <v>70</v>
      </c>
      <c r="K8" s="3" t="s">
        <v>23</v>
      </c>
      <c r="L8" s="4">
        <v>4872</v>
      </c>
      <c r="M8" s="15" t="str">
        <f>TEXT(bd_Main[[#This Row],[Data]],"ddd")</f>
        <v>sáb</v>
      </c>
      <c r="N8" s="15" t="str">
        <f>TEXT(bd_Main[[#This Row],[Data]],"MMM")</f>
        <v>jan</v>
      </c>
      <c r="O8" s="15" t="str">
        <f>TEXT(bd_Main[[#This Row],[Data]],"AAAA")</f>
        <v>2020</v>
      </c>
    </row>
    <row r="9" spans="1:15" x14ac:dyDescent="0.25">
      <c r="A9" s="7">
        <f t="shared" si="0"/>
        <v>8</v>
      </c>
      <c r="B9" s="2">
        <v>43842</v>
      </c>
      <c r="C9" s="3" t="s">
        <v>93</v>
      </c>
      <c r="D9" s="3" t="s">
        <v>74</v>
      </c>
      <c r="E9" s="3" t="s">
        <v>14</v>
      </c>
      <c r="F9" s="3" t="s">
        <v>79</v>
      </c>
      <c r="G9" s="3">
        <v>1.5</v>
      </c>
      <c r="H9" s="3" t="s">
        <v>24</v>
      </c>
      <c r="I9" s="3" t="s">
        <v>62</v>
      </c>
      <c r="J9" s="3" t="s">
        <v>71</v>
      </c>
      <c r="K9" s="3" t="s">
        <v>19</v>
      </c>
      <c r="L9" s="4">
        <v>1248</v>
      </c>
      <c r="M9" s="15" t="str">
        <f>TEXT(bd_Main[[#This Row],[Data]],"ddd")</f>
        <v>dom</v>
      </c>
      <c r="N9" s="15" t="str">
        <f>TEXT(bd_Main[[#This Row],[Data]],"MMM")</f>
        <v>jan</v>
      </c>
      <c r="O9" s="15" t="str">
        <f>TEXT(bd_Main[[#This Row],[Data]],"AAAA")</f>
        <v>2020</v>
      </c>
    </row>
    <row r="10" spans="1:15" x14ac:dyDescent="0.25">
      <c r="A10" s="7">
        <f t="shared" si="0"/>
        <v>9</v>
      </c>
      <c r="B10" s="2">
        <v>43845</v>
      </c>
      <c r="C10" s="3" t="s">
        <v>13</v>
      </c>
      <c r="D10" s="3" t="s">
        <v>74</v>
      </c>
      <c r="E10" s="3" t="s">
        <v>17</v>
      </c>
      <c r="F10" s="3" t="s">
        <v>81</v>
      </c>
      <c r="G10" s="3">
        <v>0</v>
      </c>
      <c r="H10" s="3" t="s">
        <v>25</v>
      </c>
      <c r="I10" s="3" t="s">
        <v>63</v>
      </c>
      <c r="J10" s="3" t="s">
        <v>69</v>
      </c>
      <c r="K10" s="3" t="s">
        <v>26</v>
      </c>
      <c r="L10" s="4">
        <v>29</v>
      </c>
      <c r="M10" s="15" t="str">
        <f>TEXT(bd_Main[[#This Row],[Data]],"ddd")</f>
        <v>qua</v>
      </c>
      <c r="N10" s="15" t="str">
        <f>TEXT(bd_Main[[#This Row],[Data]],"MMM")</f>
        <v>jan</v>
      </c>
      <c r="O10" s="15" t="str">
        <f>TEXT(bd_Main[[#This Row],[Data]],"AAAA")</f>
        <v>2020</v>
      </c>
    </row>
    <row r="11" spans="1:15" x14ac:dyDescent="0.25">
      <c r="A11" s="7">
        <f t="shared" si="0"/>
        <v>10</v>
      </c>
      <c r="B11" s="2">
        <v>43846</v>
      </c>
      <c r="C11" s="3" t="s">
        <v>95</v>
      </c>
      <c r="D11" s="3" t="s">
        <v>74</v>
      </c>
      <c r="E11" s="3" t="s">
        <v>20</v>
      </c>
      <c r="F11" s="3" t="s">
        <v>86</v>
      </c>
      <c r="G11" s="3">
        <v>4.5</v>
      </c>
      <c r="H11" s="3" t="s">
        <v>25</v>
      </c>
      <c r="I11" s="3" t="s">
        <v>62</v>
      </c>
      <c r="J11" s="3" t="s">
        <v>69</v>
      </c>
      <c r="K11" s="3" t="s">
        <v>19</v>
      </c>
      <c r="L11" s="4">
        <v>2525</v>
      </c>
      <c r="M11" s="15" t="str">
        <f>TEXT(bd_Main[[#This Row],[Data]],"ddd")</f>
        <v>qui</v>
      </c>
      <c r="N11" s="15" t="str">
        <f>TEXT(bd_Main[[#This Row],[Data]],"MMM")</f>
        <v>jan</v>
      </c>
      <c r="O11" s="15" t="str">
        <f>TEXT(bd_Main[[#This Row],[Data]],"AAAA")</f>
        <v>2020</v>
      </c>
    </row>
    <row r="12" spans="1:15" x14ac:dyDescent="0.25">
      <c r="A12" s="7">
        <f t="shared" si="0"/>
        <v>11</v>
      </c>
      <c r="B12" s="2">
        <v>43848</v>
      </c>
      <c r="C12" s="3" t="s">
        <v>13</v>
      </c>
      <c r="D12" s="3" t="s">
        <v>75</v>
      </c>
      <c r="E12" s="3" t="s">
        <v>14</v>
      </c>
      <c r="F12" s="3" t="s">
        <v>80</v>
      </c>
      <c r="G12" s="3">
        <v>0</v>
      </c>
      <c r="H12" s="3" t="s">
        <v>11</v>
      </c>
      <c r="I12" s="3" t="s">
        <v>63</v>
      </c>
      <c r="J12" s="3" t="s">
        <v>71</v>
      </c>
      <c r="K12" s="3" t="s">
        <v>27</v>
      </c>
      <c r="L12" s="4">
        <v>59</v>
      </c>
      <c r="M12" s="15" t="str">
        <f>TEXT(bd_Main[[#This Row],[Data]],"ddd")</f>
        <v>sáb</v>
      </c>
      <c r="N12" s="15" t="str">
        <f>TEXT(bd_Main[[#This Row],[Data]],"MMM")</f>
        <v>jan</v>
      </c>
      <c r="O12" s="15" t="str">
        <f>TEXT(bd_Main[[#This Row],[Data]],"AAAA")</f>
        <v>2020</v>
      </c>
    </row>
    <row r="13" spans="1:15" x14ac:dyDescent="0.25">
      <c r="A13" s="7">
        <f t="shared" si="0"/>
        <v>12</v>
      </c>
      <c r="B13" s="2">
        <v>43853</v>
      </c>
      <c r="C13" s="3" t="s">
        <v>91</v>
      </c>
      <c r="D13" s="3" t="s">
        <v>74</v>
      </c>
      <c r="E13" s="3" t="s">
        <v>14</v>
      </c>
      <c r="F13" s="3" t="s">
        <v>86</v>
      </c>
      <c r="G13" s="3">
        <v>0</v>
      </c>
      <c r="H13" s="3" t="s">
        <v>15</v>
      </c>
      <c r="I13" s="3" t="s">
        <v>64</v>
      </c>
      <c r="J13" s="3" t="s">
        <v>69</v>
      </c>
      <c r="K13" s="3" t="s">
        <v>27</v>
      </c>
      <c r="L13" s="4">
        <v>1947</v>
      </c>
      <c r="M13" s="15" t="str">
        <f>TEXT(bd_Main[[#This Row],[Data]],"ddd")</f>
        <v>qui</v>
      </c>
      <c r="N13" s="15" t="str">
        <f>TEXT(bd_Main[[#This Row],[Data]],"MMM")</f>
        <v>jan</v>
      </c>
      <c r="O13" s="15" t="str">
        <f>TEXT(bd_Main[[#This Row],[Data]],"AAAA")</f>
        <v>2020</v>
      </c>
    </row>
    <row r="14" spans="1:15" x14ac:dyDescent="0.25">
      <c r="A14" s="7">
        <f t="shared" si="0"/>
        <v>13</v>
      </c>
      <c r="B14" s="2">
        <v>43856</v>
      </c>
      <c r="C14" s="3" t="s">
        <v>94</v>
      </c>
      <c r="D14" s="3" t="s">
        <v>74</v>
      </c>
      <c r="E14" s="3" t="s">
        <v>14</v>
      </c>
      <c r="F14" s="3" t="s">
        <v>82</v>
      </c>
      <c r="G14" s="3">
        <v>0</v>
      </c>
      <c r="H14" s="3" t="s">
        <v>25</v>
      </c>
      <c r="I14" s="3" t="s">
        <v>64</v>
      </c>
      <c r="J14" s="3" t="s">
        <v>70</v>
      </c>
      <c r="K14" s="3" t="s">
        <v>28</v>
      </c>
      <c r="L14" s="4">
        <v>2268</v>
      </c>
      <c r="M14" s="15" t="str">
        <f>TEXT(bd_Main[[#This Row],[Data]],"ddd")</f>
        <v>dom</v>
      </c>
      <c r="N14" s="15" t="str">
        <f>TEXT(bd_Main[[#This Row],[Data]],"MMM")</f>
        <v>jan</v>
      </c>
      <c r="O14" s="15" t="str">
        <f>TEXT(bd_Main[[#This Row],[Data]],"AAAA")</f>
        <v>2020</v>
      </c>
    </row>
    <row r="15" spans="1:15" x14ac:dyDescent="0.25">
      <c r="A15" s="7">
        <f t="shared" si="0"/>
        <v>14</v>
      </c>
      <c r="B15" s="2">
        <v>43857</v>
      </c>
      <c r="C15" s="3" t="s">
        <v>94</v>
      </c>
      <c r="D15" s="3" t="s">
        <v>74</v>
      </c>
      <c r="E15" s="3" t="s">
        <v>20</v>
      </c>
      <c r="F15" s="3" t="s">
        <v>79</v>
      </c>
      <c r="G15" s="3">
        <v>0</v>
      </c>
      <c r="H15" s="3" t="s">
        <v>29</v>
      </c>
      <c r="I15" s="3" t="s">
        <v>64</v>
      </c>
      <c r="J15" s="3" t="s">
        <v>70</v>
      </c>
      <c r="K15" s="3" t="s">
        <v>26</v>
      </c>
      <c r="L15" s="4">
        <v>628</v>
      </c>
      <c r="M15" s="15" t="str">
        <f>TEXT(bd_Main[[#This Row],[Data]],"ddd")</f>
        <v>seg</v>
      </c>
      <c r="N15" s="15" t="str">
        <f>TEXT(bd_Main[[#This Row],[Data]],"MMM")</f>
        <v>jan</v>
      </c>
      <c r="O15" s="15" t="str">
        <f>TEXT(bd_Main[[#This Row],[Data]],"AAAA")</f>
        <v>2020</v>
      </c>
    </row>
    <row r="16" spans="1:15" x14ac:dyDescent="0.25">
      <c r="A16" s="7">
        <f t="shared" si="0"/>
        <v>15</v>
      </c>
      <c r="B16" s="2">
        <v>43857</v>
      </c>
      <c r="C16" s="3" t="s">
        <v>94</v>
      </c>
      <c r="D16" s="3" t="s">
        <v>74</v>
      </c>
      <c r="E16" s="3" t="s">
        <v>14</v>
      </c>
      <c r="F16" s="3" t="s">
        <v>79</v>
      </c>
      <c r="G16" s="3">
        <v>0</v>
      </c>
      <c r="H16" s="3" t="s">
        <v>18</v>
      </c>
      <c r="I16" s="3" t="s">
        <v>63</v>
      </c>
      <c r="J16" s="3" t="s">
        <v>71</v>
      </c>
      <c r="K16" s="3" t="s">
        <v>28</v>
      </c>
      <c r="L16" s="4">
        <v>77</v>
      </c>
      <c r="M16" s="15" t="str">
        <f>TEXT(bd_Main[[#This Row],[Data]],"ddd")</f>
        <v>seg</v>
      </c>
      <c r="N16" s="15" t="str">
        <f>TEXT(bd_Main[[#This Row],[Data]],"MMM")</f>
        <v>jan</v>
      </c>
      <c r="O16" s="15" t="str">
        <f>TEXT(bd_Main[[#This Row],[Data]],"AAAA")</f>
        <v>2020</v>
      </c>
    </row>
    <row r="17" spans="1:15" x14ac:dyDescent="0.25">
      <c r="A17" s="7">
        <f t="shared" si="0"/>
        <v>16</v>
      </c>
      <c r="B17" s="2">
        <v>43857</v>
      </c>
      <c r="C17" s="3" t="s">
        <v>96</v>
      </c>
      <c r="D17" s="3" t="s">
        <v>74</v>
      </c>
      <c r="E17" s="3" t="s">
        <v>20</v>
      </c>
      <c r="F17" s="3" t="s">
        <v>85</v>
      </c>
      <c r="G17" s="3">
        <v>0</v>
      </c>
      <c r="H17" s="3" t="s">
        <v>21</v>
      </c>
      <c r="I17" s="3" t="s">
        <v>63</v>
      </c>
      <c r="J17" s="3" t="s">
        <v>70</v>
      </c>
      <c r="K17" s="3" t="s">
        <v>27</v>
      </c>
      <c r="L17" s="4">
        <v>341</v>
      </c>
      <c r="M17" s="15" t="str">
        <f>TEXT(bd_Main[[#This Row],[Data]],"ddd")</f>
        <v>seg</v>
      </c>
      <c r="N17" s="15" t="str">
        <f>TEXT(bd_Main[[#This Row],[Data]],"MMM")</f>
        <v>jan</v>
      </c>
      <c r="O17" s="15" t="str">
        <f>TEXT(bd_Main[[#This Row],[Data]],"AAAA")</f>
        <v>2020</v>
      </c>
    </row>
    <row r="18" spans="1:15" x14ac:dyDescent="0.25">
      <c r="A18" s="7">
        <f t="shared" si="0"/>
        <v>17</v>
      </c>
      <c r="B18" s="2">
        <v>43860</v>
      </c>
      <c r="C18" s="3" t="s">
        <v>95</v>
      </c>
      <c r="D18" s="3" t="s">
        <v>74</v>
      </c>
      <c r="E18" s="3" t="s">
        <v>17</v>
      </c>
      <c r="F18" s="3" t="s">
        <v>79</v>
      </c>
      <c r="G18" s="3">
        <v>0</v>
      </c>
      <c r="H18" s="3" t="s">
        <v>30</v>
      </c>
      <c r="I18" s="3" t="s">
        <v>61</v>
      </c>
      <c r="J18" s="3" t="s">
        <v>69</v>
      </c>
      <c r="K18" s="3" t="s">
        <v>26</v>
      </c>
      <c r="L18" s="4">
        <v>0</v>
      </c>
      <c r="M18" s="15" t="str">
        <f>TEXT(bd_Main[[#This Row],[Data]],"ddd")</f>
        <v>qui</v>
      </c>
      <c r="N18" s="15" t="str">
        <f>TEXT(bd_Main[[#This Row],[Data]],"MMM")</f>
        <v>jan</v>
      </c>
      <c r="O18" s="15" t="str">
        <f>TEXT(bd_Main[[#This Row],[Data]],"AAAA")</f>
        <v>2020</v>
      </c>
    </row>
    <row r="19" spans="1:15" x14ac:dyDescent="0.25">
      <c r="A19" s="7">
        <f t="shared" si="0"/>
        <v>18</v>
      </c>
      <c r="B19" s="2">
        <v>43860</v>
      </c>
      <c r="C19" s="3" t="s">
        <v>95</v>
      </c>
      <c r="D19" s="3" t="s">
        <v>74</v>
      </c>
      <c r="E19" s="3" t="s">
        <v>14</v>
      </c>
      <c r="F19" s="3" t="s">
        <v>81</v>
      </c>
      <c r="G19" s="3">
        <v>0</v>
      </c>
      <c r="H19" s="3" t="s">
        <v>24</v>
      </c>
      <c r="I19" s="3" t="s">
        <v>64</v>
      </c>
      <c r="J19" s="3" t="s">
        <v>70</v>
      </c>
      <c r="K19" s="3" t="s">
        <v>31</v>
      </c>
      <c r="L19" s="4">
        <v>2007</v>
      </c>
      <c r="M19" s="15" t="str">
        <f>TEXT(bd_Main[[#This Row],[Data]],"ddd")</f>
        <v>qui</v>
      </c>
      <c r="N19" s="15" t="str">
        <f>TEXT(bd_Main[[#This Row],[Data]],"MMM")</f>
        <v>jan</v>
      </c>
      <c r="O19" s="15" t="str">
        <f>TEXT(bd_Main[[#This Row],[Data]],"AAAA")</f>
        <v>2020</v>
      </c>
    </row>
    <row r="20" spans="1:15" x14ac:dyDescent="0.25">
      <c r="A20" s="7">
        <f t="shared" si="0"/>
        <v>19</v>
      </c>
      <c r="B20" s="2">
        <v>43862</v>
      </c>
      <c r="C20" s="3" t="s">
        <v>92</v>
      </c>
      <c r="D20" s="3" t="s">
        <v>74</v>
      </c>
      <c r="E20" s="3" t="s">
        <v>20</v>
      </c>
      <c r="F20" s="3" t="s">
        <v>86</v>
      </c>
      <c r="G20" s="3">
        <v>0</v>
      </c>
      <c r="H20" s="3" t="s">
        <v>32</v>
      </c>
      <c r="I20" s="3" t="s">
        <v>63</v>
      </c>
      <c r="J20" s="3" t="s">
        <v>71</v>
      </c>
      <c r="K20" s="3" t="s">
        <v>12</v>
      </c>
      <c r="L20" s="4">
        <v>338</v>
      </c>
      <c r="M20" s="15" t="str">
        <f>TEXT(bd_Main[[#This Row],[Data]],"ddd")</f>
        <v>sáb</v>
      </c>
      <c r="N20" s="15" t="str">
        <f>TEXT(bd_Main[[#This Row],[Data]],"MMM")</f>
        <v>fev</v>
      </c>
      <c r="O20" s="15" t="str">
        <f>TEXT(bd_Main[[#This Row],[Data]],"AAAA")</f>
        <v>2020</v>
      </c>
    </row>
    <row r="21" spans="1:15" x14ac:dyDescent="0.25">
      <c r="A21" s="7">
        <f t="shared" si="0"/>
        <v>20</v>
      </c>
      <c r="B21" s="2">
        <v>43864</v>
      </c>
      <c r="C21" s="3" t="s">
        <v>95</v>
      </c>
      <c r="D21" s="3" t="s">
        <v>74</v>
      </c>
      <c r="E21" s="3" t="s">
        <v>14</v>
      </c>
      <c r="F21" s="3" t="s">
        <v>81</v>
      </c>
      <c r="G21" s="3">
        <v>4</v>
      </c>
      <c r="H21" s="3" t="s">
        <v>21</v>
      </c>
      <c r="I21" s="3" t="s">
        <v>62</v>
      </c>
      <c r="J21" s="3" t="s">
        <v>71</v>
      </c>
      <c r="K21" s="3" t="s">
        <v>26</v>
      </c>
      <c r="L21" s="4">
        <v>1196</v>
      </c>
      <c r="M21" s="15" t="str">
        <f>TEXT(bd_Main[[#This Row],[Data]],"ddd")</f>
        <v>seg</v>
      </c>
      <c r="N21" s="15" t="str">
        <f>TEXT(bd_Main[[#This Row],[Data]],"MMM")</f>
        <v>fev</v>
      </c>
      <c r="O21" s="15" t="str">
        <f>TEXT(bd_Main[[#This Row],[Data]],"AAAA")</f>
        <v>2020</v>
      </c>
    </row>
    <row r="22" spans="1:15" x14ac:dyDescent="0.25">
      <c r="A22" s="7">
        <f t="shared" si="0"/>
        <v>21</v>
      </c>
      <c r="B22" s="2">
        <v>43865</v>
      </c>
      <c r="C22" s="3" t="s">
        <v>94</v>
      </c>
      <c r="D22" s="3" t="s">
        <v>74</v>
      </c>
      <c r="E22" s="3" t="s">
        <v>17</v>
      </c>
      <c r="F22" s="3" t="s">
        <v>87</v>
      </c>
      <c r="G22" s="3">
        <v>0</v>
      </c>
      <c r="H22" s="3" t="s">
        <v>30</v>
      </c>
      <c r="I22" s="3" t="s">
        <v>61</v>
      </c>
      <c r="J22" s="3" t="s">
        <v>71</v>
      </c>
      <c r="K22" s="3" t="s">
        <v>27</v>
      </c>
      <c r="L22" s="4">
        <v>0</v>
      </c>
      <c r="M22" s="15" t="str">
        <f>TEXT(bd_Main[[#This Row],[Data]],"ddd")</f>
        <v>ter</v>
      </c>
      <c r="N22" s="15" t="str">
        <f>TEXT(bd_Main[[#This Row],[Data]],"MMM")</f>
        <v>fev</v>
      </c>
      <c r="O22" s="15" t="str">
        <f>TEXT(bd_Main[[#This Row],[Data]],"AAAA")</f>
        <v>2020</v>
      </c>
    </row>
    <row r="23" spans="1:15" x14ac:dyDescent="0.25">
      <c r="A23" s="7">
        <f t="shared" si="0"/>
        <v>22</v>
      </c>
      <c r="B23" s="2">
        <v>43870</v>
      </c>
      <c r="C23" s="3" t="s">
        <v>93</v>
      </c>
      <c r="D23" s="3" t="s">
        <v>74</v>
      </c>
      <c r="E23" s="3" t="s">
        <v>14</v>
      </c>
      <c r="F23" s="3" t="s">
        <v>86</v>
      </c>
      <c r="G23" s="3">
        <v>0</v>
      </c>
      <c r="H23" s="3" t="s">
        <v>30</v>
      </c>
      <c r="I23" s="3" t="s">
        <v>63</v>
      </c>
      <c r="J23" s="3" t="s">
        <v>69</v>
      </c>
      <c r="K23" s="3" t="s">
        <v>31</v>
      </c>
      <c r="L23" s="4">
        <v>180</v>
      </c>
      <c r="M23" s="15" t="str">
        <f>TEXT(bd_Main[[#This Row],[Data]],"ddd")</f>
        <v>dom</v>
      </c>
      <c r="N23" s="15" t="str">
        <f>TEXT(bd_Main[[#This Row],[Data]],"MMM")</f>
        <v>fev</v>
      </c>
      <c r="O23" s="15" t="str">
        <f>TEXT(bd_Main[[#This Row],[Data]],"AAAA")</f>
        <v>2020</v>
      </c>
    </row>
    <row r="24" spans="1:15" x14ac:dyDescent="0.25">
      <c r="A24" s="7">
        <f t="shared" si="0"/>
        <v>23</v>
      </c>
      <c r="B24" s="2">
        <v>43870</v>
      </c>
      <c r="C24" s="3" t="s">
        <v>94</v>
      </c>
      <c r="D24" s="3" t="s">
        <v>74</v>
      </c>
      <c r="E24" s="3" t="s">
        <v>10</v>
      </c>
      <c r="F24" s="3" t="s">
        <v>83</v>
      </c>
      <c r="G24" s="3">
        <v>4.5</v>
      </c>
      <c r="H24" s="3" t="s">
        <v>25</v>
      </c>
      <c r="I24" s="3" t="s">
        <v>62</v>
      </c>
      <c r="J24" s="3" t="s">
        <v>69</v>
      </c>
      <c r="K24" s="3" t="s">
        <v>27</v>
      </c>
      <c r="L24" s="4">
        <v>3784</v>
      </c>
      <c r="M24" s="15" t="str">
        <f>TEXT(bd_Main[[#This Row],[Data]],"ddd")</f>
        <v>dom</v>
      </c>
      <c r="N24" s="15" t="str">
        <f>TEXT(bd_Main[[#This Row],[Data]],"MMM")</f>
        <v>fev</v>
      </c>
      <c r="O24" s="15" t="str">
        <f>TEXT(bd_Main[[#This Row],[Data]],"AAAA")</f>
        <v>2020</v>
      </c>
    </row>
    <row r="25" spans="1:15" x14ac:dyDescent="0.25">
      <c r="A25" s="7">
        <f t="shared" si="0"/>
        <v>24</v>
      </c>
      <c r="B25" s="2">
        <v>43871</v>
      </c>
      <c r="C25" s="3" t="s">
        <v>93</v>
      </c>
      <c r="D25" s="3" t="s">
        <v>74</v>
      </c>
      <c r="E25" s="3" t="s">
        <v>14</v>
      </c>
      <c r="F25" s="3" t="s">
        <v>79</v>
      </c>
      <c r="G25" s="3">
        <v>1.5</v>
      </c>
      <c r="H25" s="3" t="s">
        <v>29</v>
      </c>
      <c r="I25" s="3" t="s">
        <v>62</v>
      </c>
      <c r="J25" s="3" t="s">
        <v>70</v>
      </c>
      <c r="K25" s="3" t="s">
        <v>31</v>
      </c>
      <c r="L25" s="4">
        <v>4414</v>
      </c>
      <c r="M25" s="15" t="str">
        <f>TEXT(bd_Main[[#This Row],[Data]],"ddd")</f>
        <v>seg</v>
      </c>
      <c r="N25" s="15" t="str">
        <f>TEXT(bd_Main[[#This Row],[Data]],"MMM")</f>
        <v>fev</v>
      </c>
      <c r="O25" s="15" t="str">
        <f>TEXT(bd_Main[[#This Row],[Data]],"AAAA")</f>
        <v>2020</v>
      </c>
    </row>
    <row r="26" spans="1:15" x14ac:dyDescent="0.25">
      <c r="A26" s="7">
        <f t="shared" si="0"/>
        <v>25</v>
      </c>
      <c r="B26" s="2">
        <v>43871</v>
      </c>
      <c r="C26" s="3" t="s">
        <v>94</v>
      </c>
      <c r="D26" s="3" t="s">
        <v>74</v>
      </c>
      <c r="E26" s="3" t="s">
        <v>14</v>
      </c>
      <c r="F26" s="3" t="s">
        <v>84</v>
      </c>
      <c r="G26" s="3">
        <v>2.5</v>
      </c>
      <c r="H26" s="3" t="s">
        <v>21</v>
      </c>
      <c r="I26" s="3" t="s">
        <v>62</v>
      </c>
      <c r="J26" s="3" t="s">
        <v>69</v>
      </c>
      <c r="K26" s="3" t="s">
        <v>22</v>
      </c>
      <c r="L26" s="4">
        <v>2790</v>
      </c>
      <c r="M26" s="15" t="str">
        <f>TEXT(bd_Main[[#This Row],[Data]],"ddd")</f>
        <v>seg</v>
      </c>
      <c r="N26" s="15" t="str">
        <f>TEXT(bd_Main[[#This Row],[Data]],"MMM")</f>
        <v>fev</v>
      </c>
      <c r="O26" s="15" t="str">
        <f>TEXT(bd_Main[[#This Row],[Data]],"AAAA")</f>
        <v>2020</v>
      </c>
    </row>
    <row r="27" spans="1:15" x14ac:dyDescent="0.25">
      <c r="A27" s="7">
        <f t="shared" si="0"/>
        <v>26</v>
      </c>
      <c r="B27" s="2">
        <v>43872</v>
      </c>
      <c r="C27" s="3" t="s">
        <v>13</v>
      </c>
      <c r="D27" s="3" t="s">
        <v>74</v>
      </c>
      <c r="E27" s="3" t="s">
        <v>10</v>
      </c>
      <c r="F27" s="3" t="s">
        <v>84</v>
      </c>
      <c r="G27" s="3">
        <v>0</v>
      </c>
      <c r="H27" s="3" t="s">
        <v>32</v>
      </c>
      <c r="I27" s="3" t="s">
        <v>63</v>
      </c>
      <c r="J27" s="3" t="s">
        <v>69</v>
      </c>
      <c r="K27" s="3" t="s">
        <v>19</v>
      </c>
      <c r="L27" s="4">
        <v>394</v>
      </c>
      <c r="M27" s="15" t="str">
        <f>TEXT(bd_Main[[#This Row],[Data]],"ddd")</f>
        <v>ter</v>
      </c>
      <c r="N27" s="15" t="str">
        <f>TEXT(bd_Main[[#This Row],[Data]],"MMM")</f>
        <v>fev</v>
      </c>
      <c r="O27" s="15" t="str">
        <f>TEXT(bd_Main[[#This Row],[Data]],"AAAA")</f>
        <v>2020</v>
      </c>
    </row>
    <row r="28" spans="1:15" x14ac:dyDescent="0.25">
      <c r="A28" s="7">
        <f t="shared" si="0"/>
        <v>27</v>
      </c>
      <c r="B28" s="2">
        <v>43873</v>
      </c>
      <c r="C28" s="3" t="s">
        <v>95</v>
      </c>
      <c r="D28" s="3" t="s">
        <v>74</v>
      </c>
      <c r="E28" s="3" t="s">
        <v>20</v>
      </c>
      <c r="F28" s="3" t="s">
        <v>81</v>
      </c>
      <c r="G28" s="3">
        <v>4</v>
      </c>
      <c r="H28" s="3" t="s">
        <v>30</v>
      </c>
      <c r="I28" s="3" t="s">
        <v>62</v>
      </c>
      <c r="J28" s="3" t="s">
        <v>69</v>
      </c>
      <c r="K28" s="3" t="s">
        <v>28</v>
      </c>
      <c r="L28" s="4">
        <v>4743</v>
      </c>
      <c r="M28" s="15" t="str">
        <f>TEXT(bd_Main[[#This Row],[Data]],"ddd")</f>
        <v>qua</v>
      </c>
      <c r="N28" s="15" t="str">
        <f>TEXT(bd_Main[[#This Row],[Data]],"MMM")</f>
        <v>fev</v>
      </c>
      <c r="O28" s="15" t="str">
        <f>TEXT(bd_Main[[#This Row],[Data]],"AAAA")</f>
        <v>2020</v>
      </c>
    </row>
    <row r="29" spans="1:15" x14ac:dyDescent="0.25">
      <c r="A29" s="7">
        <f t="shared" si="0"/>
        <v>28</v>
      </c>
      <c r="B29" s="2">
        <v>43874</v>
      </c>
      <c r="C29" s="3" t="s">
        <v>13</v>
      </c>
      <c r="D29" s="3" t="s">
        <v>74</v>
      </c>
      <c r="E29" s="3" t="s">
        <v>20</v>
      </c>
      <c r="F29" s="3" t="s">
        <v>79</v>
      </c>
      <c r="G29" s="3">
        <v>4.5</v>
      </c>
      <c r="H29" s="3" t="s">
        <v>32</v>
      </c>
      <c r="I29" s="3" t="s">
        <v>62</v>
      </c>
      <c r="J29" s="3" t="s">
        <v>71</v>
      </c>
      <c r="K29" s="3" t="s">
        <v>28</v>
      </c>
      <c r="L29" s="4">
        <v>3417</v>
      </c>
      <c r="M29" s="15" t="str">
        <f>TEXT(bd_Main[[#This Row],[Data]],"ddd")</f>
        <v>qui</v>
      </c>
      <c r="N29" s="15" t="str">
        <f>TEXT(bd_Main[[#This Row],[Data]],"MMM")</f>
        <v>fev</v>
      </c>
      <c r="O29" s="15" t="str">
        <f>TEXT(bd_Main[[#This Row],[Data]],"AAAA")</f>
        <v>2020</v>
      </c>
    </row>
    <row r="30" spans="1:15" x14ac:dyDescent="0.25">
      <c r="A30" s="7">
        <f t="shared" si="0"/>
        <v>29</v>
      </c>
      <c r="B30" s="2">
        <v>43874</v>
      </c>
      <c r="C30" s="3" t="s">
        <v>90</v>
      </c>
      <c r="D30" s="3" t="s">
        <v>74</v>
      </c>
      <c r="E30" s="3" t="s">
        <v>10</v>
      </c>
      <c r="F30" s="3" t="s">
        <v>86</v>
      </c>
      <c r="G30" s="3">
        <v>0</v>
      </c>
      <c r="H30" s="3" t="s">
        <v>15</v>
      </c>
      <c r="I30" s="3" t="s">
        <v>64</v>
      </c>
      <c r="J30" s="3" t="s">
        <v>71</v>
      </c>
      <c r="K30" s="3" t="s">
        <v>12</v>
      </c>
      <c r="L30" s="4">
        <v>2337</v>
      </c>
      <c r="M30" s="15" t="str">
        <f>TEXT(bd_Main[[#This Row],[Data]],"ddd")</f>
        <v>qui</v>
      </c>
      <c r="N30" s="15" t="str">
        <f>TEXT(bd_Main[[#This Row],[Data]],"MMM")</f>
        <v>fev</v>
      </c>
      <c r="O30" s="15" t="str">
        <f>TEXT(bd_Main[[#This Row],[Data]],"AAAA")</f>
        <v>2020</v>
      </c>
    </row>
    <row r="31" spans="1:15" x14ac:dyDescent="0.25">
      <c r="A31" s="7">
        <f t="shared" si="0"/>
        <v>30</v>
      </c>
      <c r="B31" s="2">
        <v>43875</v>
      </c>
      <c r="C31" s="3" t="s">
        <v>33</v>
      </c>
      <c r="D31" s="3" t="s">
        <v>74</v>
      </c>
      <c r="E31" s="3" t="s">
        <v>10</v>
      </c>
      <c r="F31" s="3" t="s">
        <v>83</v>
      </c>
      <c r="G31" s="3">
        <v>0</v>
      </c>
      <c r="H31" s="3" t="s">
        <v>18</v>
      </c>
      <c r="I31" s="3" t="s">
        <v>61</v>
      </c>
      <c r="J31" s="3" t="s">
        <v>71</v>
      </c>
      <c r="K31" s="3" t="s">
        <v>27</v>
      </c>
      <c r="L31" s="4">
        <v>0</v>
      </c>
      <c r="M31" s="15" t="str">
        <f>TEXT(bd_Main[[#This Row],[Data]],"ddd")</f>
        <v>sex</v>
      </c>
      <c r="N31" s="15" t="str">
        <f>TEXT(bd_Main[[#This Row],[Data]],"MMM")</f>
        <v>fev</v>
      </c>
      <c r="O31" s="15" t="str">
        <f>TEXT(bd_Main[[#This Row],[Data]],"AAAA")</f>
        <v>2020</v>
      </c>
    </row>
    <row r="32" spans="1:15" x14ac:dyDescent="0.25">
      <c r="A32" s="7">
        <f t="shared" si="0"/>
        <v>31</v>
      </c>
      <c r="B32" s="2">
        <v>43877</v>
      </c>
      <c r="C32" s="3" t="s">
        <v>33</v>
      </c>
      <c r="D32" s="3" t="s">
        <v>74</v>
      </c>
      <c r="E32" s="3" t="s">
        <v>20</v>
      </c>
      <c r="F32" s="3" t="s">
        <v>84</v>
      </c>
      <c r="G32" s="3">
        <v>0</v>
      </c>
      <c r="H32" s="3" t="s">
        <v>24</v>
      </c>
      <c r="I32" s="3" t="s">
        <v>63</v>
      </c>
      <c r="J32" s="3" t="s">
        <v>70</v>
      </c>
      <c r="K32" s="3" t="s">
        <v>16</v>
      </c>
      <c r="L32" s="4">
        <v>207</v>
      </c>
      <c r="M32" s="15" t="str">
        <f>TEXT(bd_Main[[#This Row],[Data]],"ddd")</f>
        <v>dom</v>
      </c>
      <c r="N32" s="15" t="str">
        <f>TEXT(bd_Main[[#This Row],[Data]],"MMM")</f>
        <v>fev</v>
      </c>
      <c r="O32" s="15" t="str">
        <f>TEXT(bd_Main[[#This Row],[Data]],"AAAA")</f>
        <v>2020</v>
      </c>
    </row>
    <row r="33" spans="1:15" x14ac:dyDescent="0.25">
      <c r="A33" s="7">
        <f t="shared" si="0"/>
        <v>32</v>
      </c>
      <c r="B33" s="2">
        <v>43878</v>
      </c>
      <c r="C33" s="3" t="s">
        <v>92</v>
      </c>
      <c r="D33" s="3" t="s">
        <v>75</v>
      </c>
      <c r="E33" s="3" t="s">
        <v>14</v>
      </c>
      <c r="F33" s="3" t="s">
        <v>81</v>
      </c>
      <c r="G33" s="3">
        <v>2</v>
      </c>
      <c r="H33" s="3" t="s">
        <v>21</v>
      </c>
      <c r="I33" s="3" t="s">
        <v>62</v>
      </c>
      <c r="J33" s="3" t="s">
        <v>71</v>
      </c>
      <c r="K33" s="3" t="s">
        <v>26</v>
      </c>
      <c r="L33" s="4">
        <v>2544</v>
      </c>
      <c r="M33" s="15" t="str">
        <f>TEXT(bd_Main[[#This Row],[Data]],"ddd")</f>
        <v>seg</v>
      </c>
      <c r="N33" s="15" t="str">
        <f>TEXT(bd_Main[[#This Row],[Data]],"MMM")</f>
        <v>fev</v>
      </c>
      <c r="O33" s="15" t="str">
        <f>TEXT(bd_Main[[#This Row],[Data]],"AAAA")</f>
        <v>2020</v>
      </c>
    </row>
    <row r="34" spans="1:15" x14ac:dyDescent="0.25">
      <c r="A34" s="7">
        <f t="shared" si="0"/>
        <v>33</v>
      </c>
      <c r="B34" s="2">
        <v>43880</v>
      </c>
      <c r="C34" s="3" t="s">
        <v>92</v>
      </c>
      <c r="D34" s="3" t="s">
        <v>75</v>
      </c>
      <c r="E34" s="3" t="s">
        <v>14</v>
      </c>
      <c r="F34" s="3" t="s">
        <v>83</v>
      </c>
      <c r="G34" s="3">
        <v>0</v>
      </c>
      <c r="H34" s="3" t="s">
        <v>30</v>
      </c>
      <c r="I34" s="3" t="s">
        <v>64</v>
      </c>
      <c r="J34" s="3" t="s">
        <v>70</v>
      </c>
      <c r="K34" s="3" t="s">
        <v>19</v>
      </c>
      <c r="L34" s="4">
        <v>3411</v>
      </c>
      <c r="M34" s="15" t="str">
        <f>TEXT(bd_Main[[#This Row],[Data]],"ddd")</f>
        <v>qua</v>
      </c>
      <c r="N34" s="15" t="str">
        <f>TEXT(bd_Main[[#This Row],[Data]],"MMM")</f>
        <v>fev</v>
      </c>
      <c r="O34" s="15" t="str">
        <f>TEXT(bd_Main[[#This Row],[Data]],"AAAA")</f>
        <v>2020</v>
      </c>
    </row>
    <row r="35" spans="1:15" x14ac:dyDescent="0.25">
      <c r="A35" s="7">
        <f t="shared" si="0"/>
        <v>34</v>
      </c>
      <c r="B35" s="2">
        <v>43881</v>
      </c>
      <c r="C35" s="3" t="s">
        <v>96</v>
      </c>
      <c r="D35" s="3" t="s">
        <v>74</v>
      </c>
      <c r="E35" s="3" t="s">
        <v>10</v>
      </c>
      <c r="F35" s="3" t="s">
        <v>84</v>
      </c>
      <c r="G35" s="3">
        <v>0</v>
      </c>
      <c r="H35" s="3" t="s">
        <v>24</v>
      </c>
      <c r="I35" s="3" t="s">
        <v>61</v>
      </c>
      <c r="J35" s="3" t="s">
        <v>69</v>
      </c>
      <c r="K35" s="3" t="s">
        <v>16</v>
      </c>
      <c r="L35" s="4">
        <v>0</v>
      </c>
      <c r="M35" s="15" t="str">
        <f>TEXT(bd_Main[[#This Row],[Data]],"ddd")</f>
        <v>qui</v>
      </c>
      <c r="N35" s="15" t="str">
        <f>TEXT(bd_Main[[#This Row],[Data]],"MMM")</f>
        <v>fev</v>
      </c>
      <c r="O35" s="15" t="str">
        <f>TEXT(bd_Main[[#This Row],[Data]],"AAAA")</f>
        <v>2020</v>
      </c>
    </row>
    <row r="36" spans="1:15" x14ac:dyDescent="0.25">
      <c r="A36" s="7">
        <f t="shared" si="0"/>
        <v>35</v>
      </c>
      <c r="B36" s="2">
        <v>43883</v>
      </c>
      <c r="C36" s="3" t="s">
        <v>13</v>
      </c>
      <c r="D36" s="3" t="s">
        <v>74</v>
      </c>
      <c r="E36" s="3" t="s">
        <v>10</v>
      </c>
      <c r="F36" s="3" t="s">
        <v>83</v>
      </c>
      <c r="G36" s="3">
        <v>0</v>
      </c>
      <c r="H36" s="3" t="s">
        <v>18</v>
      </c>
      <c r="I36" s="3" t="s">
        <v>64</v>
      </c>
      <c r="J36" s="3" t="s">
        <v>69</v>
      </c>
      <c r="K36" s="3" t="s">
        <v>16</v>
      </c>
      <c r="L36" s="4">
        <v>4800</v>
      </c>
      <c r="M36" s="15" t="str">
        <f>TEXT(bd_Main[[#This Row],[Data]],"ddd")</f>
        <v>sáb</v>
      </c>
      <c r="N36" s="15" t="str">
        <f>TEXT(bd_Main[[#This Row],[Data]],"MMM")</f>
        <v>fev</v>
      </c>
      <c r="O36" s="15" t="str">
        <f>TEXT(bd_Main[[#This Row],[Data]],"AAAA")</f>
        <v>2020</v>
      </c>
    </row>
    <row r="37" spans="1:15" x14ac:dyDescent="0.25">
      <c r="A37" s="7">
        <f t="shared" si="0"/>
        <v>36</v>
      </c>
      <c r="B37" s="2">
        <v>43888</v>
      </c>
      <c r="C37" s="3" t="s">
        <v>91</v>
      </c>
      <c r="D37" s="3" t="s">
        <v>74</v>
      </c>
      <c r="E37" s="3" t="s">
        <v>20</v>
      </c>
      <c r="F37" s="3" t="s">
        <v>83</v>
      </c>
      <c r="G37" s="3">
        <v>0</v>
      </c>
      <c r="H37" s="3" t="s">
        <v>29</v>
      </c>
      <c r="I37" s="3" t="s">
        <v>64</v>
      </c>
      <c r="J37" s="3" t="s">
        <v>71</v>
      </c>
      <c r="K37" s="3" t="s">
        <v>26</v>
      </c>
      <c r="L37" s="4">
        <v>3339</v>
      </c>
      <c r="M37" s="15" t="str">
        <f>TEXT(bd_Main[[#This Row],[Data]],"ddd")</f>
        <v>qui</v>
      </c>
      <c r="N37" s="15" t="str">
        <f>TEXT(bd_Main[[#This Row],[Data]],"MMM")</f>
        <v>fev</v>
      </c>
      <c r="O37" s="15" t="str">
        <f>TEXT(bd_Main[[#This Row],[Data]],"AAAA")</f>
        <v>2020</v>
      </c>
    </row>
    <row r="38" spans="1:15" x14ac:dyDescent="0.25">
      <c r="A38" s="7">
        <f t="shared" si="0"/>
        <v>37</v>
      </c>
      <c r="B38" s="2">
        <v>43889</v>
      </c>
      <c r="C38" s="3" t="s">
        <v>96</v>
      </c>
      <c r="D38" s="3" t="s">
        <v>74</v>
      </c>
      <c r="E38" s="3" t="s">
        <v>20</v>
      </c>
      <c r="F38" s="3" t="s">
        <v>87</v>
      </c>
      <c r="G38" s="3">
        <v>5</v>
      </c>
      <c r="H38" s="3" t="s">
        <v>30</v>
      </c>
      <c r="I38" s="3" t="s">
        <v>62</v>
      </c>
      <c r="J38" s="3" t="s">
        <v>71</v>
      </c>
      <c r="K38" s="3" t="s">
        <v>16</v>
      </c>
      <c r="L38" s="4">
        <v>4969</v>
      </c>
      <c r="M38" s="15" t="str">
        <f>TEXT(bd_Main[[#This Row],[Data]],"ddd")</f>
        <v>sex</v>
      </c>
      <c r="N38" s="15" t="str">
        <f>TEXT(bd_Main[[#This Row],[Data]],"MMM")</f>
        <v>fev</v>
      </c>
      <c r="O38" s="15" t="str">
        <f>TEXT(bd_Main[[#This Row],[Data]],"AAAA")</f>
        <v>2020</v>
      </c>
    </row>
    <row r="39" spans="1:15" x14ac:dyDescent="0.25">
      <c r="A39" s="7">
        <f t="shared" si="0"/>
        <v>38</v>
      </c>
      <c r="B39" s="2">
        <v>43891</v>
      </c>
      <c r="C39" s="3" t="s">
        <v>96</v>
      </c>
      <c r="D39" s="3" t="s">
        <v>74</v>
      </c>
      <c r="E39" s="3" t="s">
        <v>17</v>
      </c>
      <c r="F39" s="3" t="s">
        <v>81</v>
      </c>
      <c r="G39" s="3">
        <v>0</v>
      </c>
      <c r="H39" s="3" t="s">
        <v>30</v>
      </c>
      <c r="I39" s="3" t="s">
        <v>63</v>
      </c>
      <c r="J39" s="3" t="s">
        <v>69</v>
      </c>
      <c r="K39" s="3" t="s">
        <v>27</v>
      </c>
      <c r="L39" s="4">
        <v>360</v>
      </c>
      <c r="M39" s="15" t="str">
        <f>TEXT(bd_Main[[#This Row],[Data]],"ddd")</f>
        <v>dom</v>
      </c>
      <c r="N39" s="15" t="str">
        <f>TEXT(bd_Main[[#This Row],[Data]],"MMM")</f>
        <v>mar</v>
      </c>
      <c r="O39" s="15" t="str">
        <f>TEXT(bd_Main[[#This Row],[Data]],"AAAA")</f>
        <v>2020</v>
      </c>
    </row>
    <row r="40" spans="1:15" x14ac:dyDescent="0.25">
      <c r="A40" s="7">
        <f t="shared" si="0"/>
        <v>39</v>
      </c>
      <c r="B40" s="2">
        <v>43893</v>
      </c>
      <c r="C40" s="3" t="s">
        <v>94</v>
      </c>
      <c r="D40" s="3" t="s">
        <v>74</v>
      </c>
      <c r="E40" s="3" t="s">
        <v>14</v>
      </c>
      <c r="F40" s="3" t="s">
        <v>79</v>
      </c>
      <c r="G40" s="3">
        <v>0</v>
      </c>
      <c r="H40" s="3" t="s">
        <v>11</v>
      </c>
      <c r="I40" s="3" t="s">
        <v>61</v>
      </c>
      <c r="J40" s="3" t="s">
        <v>69</v>
      </c>
      <c r="K40" s="3" t="s">
        <v>27</v>
      </c>
      <c r="L40" s="4">
        <v>0</v>
      </c>
      <c r="M40" s="15" t="str">
        <f>TEXT(bd_Main[[#This Row],[Data]],"ddd")</f>
        <v>ter</v>
      </c>
      <c r="N40" s="15" t="str">
        <f>TEXT(bd_Main[[#This Row],[Data]],"MMM")</f>
        <v>mar</v>
      </c>
      <c r="O40" s="15" t="str">
        <f>TEXT(bd_Main[[#This Row],[Data]],"AAAA")</f>
        <v>2020</v>
      </c>
    </row>
    <row r="41" spans="1:15" x14ac:dyDescent="0.25">
      <c r="A41" s="7">
        <f t="shared" si="0"/>
        <v>40</v>
      </c>
      <c r="B41" s="2">
        <v>43893</v>
      </c>
      <c r="C41" s="3" t="s">
        <v>13</v>
      </c>
      <c r="D41" s="3" t="s">
        <v>74</v>
      </c>
      <c r="E41" s="3" t="s">
        <v>20</v>
      </c>
      <c r="F41" s="3" t="s">
        <v>86</v>
      </c>
      <c r="G41" s="3">
        <v>2.5</v>
      </c>
      <c r="H41" s="3" t="s">
        <v>25</v>
      </c>
      <c r="I41" s="3" t="s">
        <v>62</v>
      </c>
      <c r="J41" s="3" t="s">
        <v>70</v>
      </c>
      <c r="K41" s="3" t="s">
        <v>26</v>
      </c>
      <c r="L41" s="4">
        <v>4718</v>
      </c>
      <c r="M41" s="15" t="str">
        <f>TEXT(bd_Main[[#This Row],[Data]],"ddd")</f>
        <v>ter</v>
      </c>
      <c r="N41" s="15" t="str">
        <f>TEXT(bd_Main[[#This Row],[Data]],"MMM")</f>
        <v>mar</v>
      </c>
      <c r="O41" s="15" t="str">
        <f>TEXT(bd_Main[[#This Row],[Data]],"AAAA")</f>
        <v>2020</v>
      </c>
    </row>
    <row r="42" spans="1:15" x14ac:dyDescent="0.25">
      <c r="A42" s="7">
        <f t="shared" si="0"/>
        <v>41</v>
      </c>
      <c r="B42" s="2">
        <v>43896</v>
      </c>
      <c r="C42" s="3" t="s">
        <v>94</v>
      </c>
      <c r="D42" s="3" t="s">
        <v>74</v>
      </c>
      <c r="E42" s="3" t="s">
        <v>10</v>
      </c>
      <c r="F42" s="3" t="s">
        <v>79</v>
      </c>
      <c r="G42" s="3">
        <v>0</v>
      </c>
      <c r="H42" s="3" t="s">
        <v>21</v>
      </c>
      <c r="I42" s="3" t="s">
        <v>61</v>
      </c>
      <c r="J42" s="3" t="s">
        <v>71</v>
      </c>
      <c r="K42" s="3" t="s">
        <v>27</v>
      </c>
      <c r="L42" s="4">
        <v>0</v>
      </c>
      <c r="M42" s="15" t="str">
        <f>TEXT(bd_Main[[#This Row],[Data]],"ddd")</f>
        <v>sex</v>
      </c>
      <c r="N42" s="15" t="str">
        <f>TEXT(bd_Main[[#This Row],[Data]],"MMM")</f>
        <v>mar</v>
      </c>
      <c r="O42" s="15" t="str">
        <f>TEXT(bd_Main[[#This Row],[Data]],"AAAA")</f>
        <v>2020</v>
      </c>
    </row>
    <row r="43" spans="1:15" x14ac:dyDescent="0.25">
      <c r="A43" s="7">
        <f t="shared" si="0"/>
        <v>42</v>
      </c>
      <c r="B43" s="2">
        <v>43896</v>
      </c>
      <c r="C43" s="3" t="s">
        <v>94</v>
      </c>
      <c r="D43" s="3" t="s">
        <v>74</v>
      </c>
      <c r="E43" s="3" t="s">
        <v>17</v>
      </c>
      <c r="F43" s="3" t="s">
        <v>85</v>
      </c>
      <c r="G43" s="3">
        <v>0</v>
      </c>
      <c r="H43" s="3" t="s">
        <v>30</v>
      </c>
      <c r="I43" s="3" t="s">
        <v>63</v>
      </c>
      <c r="J43" s="3" t="s">
        <v>70</v>
      </c>
      <c r="K43" s="3" t="s">
        <v>27</v>
      </c>
      <c r="L43" s="4">
        <v>456</v>
      </c>
      <c r="M43" s="15" t="str">
        <f>TEXT(bd_Main[[#This Row],[Data]],"ddd")</f>
        <v>sex</v>
      </c>
      <c r="N43" s="15" t="str">
        <f>TEXT(bd_Main[[#This Row],[Data]],"MMM")</f>
        <v>mar</v>
      </c>
      <c r="O43" s="15" t="str">
        <f>TEXT(bd_Main[[#This Row],[Data]],"AAAA")</f>
        <v>2020</v>
      </c>
    </row>
    <row r="44" spans="1:15" x14ac:dyDescent="0.25">
      <c r="A44" s="7">
        <f t="shared" si="0"/>
        <v>43</v>
      </c>
      <c r="B44" s="2">
        <v>43897</v>
      </c>
      <c r="C44" s="3" t="s">
        <v>93</v>
      </c>
      <c r="D44" s="3" t="s">
        <v>74</v>
      </c>
      <c r="E44" s="3" t="s">
        <v>17</v>
      </c>
      <c r="F44" s="3" t="s">
        <v>81</v>
      </c>
      <c r="G44" s="3">
        <v>0</v>
      </c>
      <c r="H44" s="3" t="s">
        <v>15</v>
      </c>
      <c r="I44" s="3" t="s">
        <v>63</v>
      </c>
      <c r="J44" s="3" t="s">
        <v>71</v>
      </c>
      <c r="K44" s="3" t="s">
        <v>19</v>
      </c>
      <c r="L44" s="4">
        <v>307</v>
      </c>
      <c r="M44" s="15" t="str">
        <f>TEXT(bd_Main[[#This Row],[Data]],"ddd")</f>
        <v>sáb</v>
      </c>
      <c r="N44" s="15" t="str">
        <f>TEXT(bd_Main[[#This Row],[Data]],"MMM")</f>
        <v>mar</v>
      </c>
      <c r="O44" s="15" t="str">
        <f>TEXT(bd_Main[[#This Row],[Data]],"AAAA")</f>
        <v>2020</v>
      </c>
    </row>
    <row r="45" spans="1:15" x14ac:dyDescent="0.25">
      <c r="A45" s="7">
        <f t="shared" si="0"/>
        <v>44</v>
      </c>
      <c r="B45" s="2">
        <v>43901</v>
      </c>
      <c r="C45" s="3" t="s">
        <v>95</v>
      </c>
      <c r="D45" s="3" t="s">
        <v>74</v>
      </c>
      <c r="E45" s="3" t="s">
        <v>14</v>
      </c>
      <c r="F45" s="3" t="s">
        <v>85</v>
      </c>
      <c r="G45" s="3">
        <v>0</v>
      </c>
      <c r="H45" s="3" t="s">
        <v>21</v>
      </c>
      <c r="I45" s="3" t="s">
        <v>61</v>
      </c>
      <c r="J45" s="3" t="s">
        <v>70</v>
      </c>
      <c r="K45" s="3" t="s">
        <v>26</v>
      </c>
      <c r="L45" s="4">
        <v>0</v>
      </c>
      <c r="M45" s="15" t="str">
        <f>TEXT(bd_Main[[#This Row],[Data]],"ddd")</f>
        <v>qua</v>
      </c>
      <c r="N45" s="15" t="str">
        <f>TEXT(bd_Main[[#This Row],[Data]],"MMM")</f>
        <v>mar</v>
      </c>
      <c r="O45" s="15" t="str">
        <f>TEXT(bd_Main[[#This Row],[Data]],"AAAA")</f>
        <v>2020</v>
      </c>
    </row>
    <row r="46" spans="1:15" x14ac:dyDescent="0.25">
      <c r="A46" s="7">
        <f t="shared" si="0"/>
        <v>45</v>
      </c>
      <c r="B46" s="2">
        <v>43902</v>
      </c>
      <c r="C46" s="3" t="s">
        <v>91</v>
      </c>
      <c r="D46" s="3" t="s">
        <v>75</v>
      </c>
      <c r="E46" s="3" t="s">
        <v>17</v>
      </c>
      <c r="F46" s="3" t="s">
        <v>81</v>
      </c>
      <c r="G46" s="3">
        <v>0</v>
      </c>
      <c r="H46" s="3" t="s">
        <v>25</v>
      </c>
      <c r="I46" s="3" t="s">
        <v>64</v>
      </c>
      <c r="J46" s="3" t="s">
        <v>70</v>
      </c>
      <c r="K46" s="3" t="s">
        <v>19</v>
      </c>
      <c r="L46" s="4">
        <v>4933</v>
      </c>
      <c r="M46" s="15" t="str">
        <f>TEXT(bd_Main[[#This Row],[Data]],"ddd")</f>
        <v>qui</v>
      </c>
      <c r="N46" s="15" t="str">
        <f>TEXT(bd_Main[[#This Row],[Data]],"MMM")</f>
        <v>mar</v>
      </c>
      <c r="O46" s="15" t="str">
        <f>TEXT(bd_Main[[#This Row],[Data]],"AAAA")</f>
        <v>2020</v>
      </c>
    </row>
    <row r="47" spans="1:15" x14ac:dyDescent="0.25">
      <c r="A47" s="7">
        <f t="shared" si="0"/>
        <v>46</v>
      </c>
      <c r="B47" s="2">
        <v>43907</v>
      </c>
      <c r="C47" s="3" t="s">
        <v>33</v>
      </c>
      <c r="D47" s="3" t="s">
        <v>74</v>
      </c>
      <c r="E47" s="3" t="s">
        <v>10</v>
      </c>
      <c r="F47" s="3" t="s">
        <v>84</v>
      </c>
      <c r="G47" s="3">
        <v>4.5</v>
      </c>
      <c r="H47" s="3" t="s">
        <v>11</v>
      </c>
      <c r="I47" s="3" t="s">
        <v>62</v>
      </c>
      <c r="J47" s="3" t="s">
        <v>70</v>
      </c>
      <c r="K47" s="3" t="s">
        <v>16</v>
      </c>
      <c r="L47" s="4">
        <v>3146</v>
      </c>
      <c r="M47" s="15" t="str">
        <f>TEXT(bd_Main[[#This Row],[Data]],"ddd")</f>
        <v>ter</v>
      </c>
      <c r="N47" s="15" t="str">
        <f>TEXT(bd_Main[[#This Row],[Data]],"MMM")</f>
        <v>mar</v>
      </c>
      <c r="O47" s="15" t="str">
        <f>TEXT(bd_Main[[#This Row],[Data]],"AAAA")</f>
        <v>2020</v>
      </c>
    </row>
    <row r="48" spans="1:15" x14ac:dyDescent="0.25">
      <c r="A48" s="7">
        <f t="shared" si="0"/>
        <v>47</v>
      </c>
      <c r="B48" s="2">
        <v>43910</v>
      </c>
      <c r="C48" s="3" t="s">
        <v>94</v>
      </c>
      <c r="D48" s="3" t="s">
        <v>74</v>
      </c>
      <c r="E48" s="3" t="s">
        <v>14</v>
      </c>
      <c r="F48" s="3" t="s">
        <v>87</v>
      </c>
      <c r="G48" s="3">
        <v>0</v>
      </c>
      <c r="H48" s="3" t="s">
        <v>30</v>
      </c>
      <c r="I48" s="3" t="s">
        <v>61</v>
      </c>
      <c r="J48" s="3" t="s">
        <v>70</v>
      </c>
      <c r="K48" s="3" t="s">
        <v>22</v>
      </c>
      <c r="L48" s="4">
        <v>0</v>
      </c>
      <c r="M48" s="15" t="str">
        <f>TEXT(bd_Main[[#This Row],[Data]],"ddd")</f>
        <v>sex</v>
      </c>
      <c r="N48" s="15" t="str">
        <f>TEXT(bd_Main[[#This Row],[Data]],"MMM")</f>
        <v>mar</v>
      </c>
      <c r="O48" s="15" t="str">
        <f>TEXT(bd_Main[[#This Row],[Data]],"AAAA")</f>
        <v>2020</v>
      </c>
    </row>
    <row r="49" spans="1:15" x14ac:dyDescent="0.25">
      <c r="A49" s="7">
        <f t="shared" si="0"/>
        <v>48</v>
      </c>
      <c r="B49" s="2">
        <v>43911</v>
      </c>
      <c r="C49" s="3" t="s">
        <v>96</v>
      </c>
      <c r="D49" s="3" t="s">
        <v>74</v>
      </c>
      <c r="E49" s="3" t="s">
        <v>14</v>
      </c>
      <c r="F49" s="3" t="s">
        <v>80</v>
      </c>
      <c r="G49" s="3">
        <v>0</v>
      </c>
      <c r="H49" s="3" t="s">
        <v>21</v>
      </c>
      <c r="I49" s="3" t="s">
        <v>64</v>
      </c>
      <c r="J49" s="3" t="s">
        <v>71</v>
      </c>
      <c r="K49" s="3" t="s">
        <v>31</v>
      </c>
      <c r="L49" s="4">
        <v>3084</v>
      </c>
      <c r="M49" s="15" t="str">
        <f>TEXT(bd_Main[[#This Row],[Data]],"ddd")</f>
        <v>sáb</v>
      </c>
      <c r="N49" s="15" t="str">
        <f>TEXT(bd_Main[[#This Row],[Data]],"MMM")</f>
        <v>mar</v>
      </c>
      <c r="O49" s="15" t="str">
        <f>TEXT(bd_Main[[#This Row],[Data]],"AAAA")</f>
        <v>2020</v>
      </c>
    </row>
    <row r="50" spans="1:15" x14ac:dyDescent="0.25">
      <c r="A50" s="7">
        <f t="shared" si="0"/>
        <v>49</v>
      </c>
      <c r="B50" s="2">
        <v>43913</v>
      </c>
      <c r="C50" s="3" t="s">
        <v>92</v>
      </c>
      <c r="D50" s="3" t="s">
        <v>74</v>
      </c>
      <c r="E50" s="3" t="s">
        <v>14</v>
      </c>
      <c r="F50" s="3" t="s">
        <v>80</v>
      </c>
      <c r="G50" s="3">
        <v>0</v>
      </c>
      <c r="H50" s="3" t="s">
        <v>25</v>
      </c>
      <c r="I50" s="3" t="s">
        <v>61</v>
      </c>
      <c r="J50" s="3" t="s">
        <v>69</v>
      </c>
      <c r="K50" s="3" t="s">
        <v>28</v>
      </c>
      <c r="L50" s="4">
        <v>0</v>
      </c>
      <c r="M50" s="15" t="str">
        <f>TEXT(bd_Main[[#This Row],[Data]],"ddd")</f>
        <v>seg</v>
      </c>
      <c r="N50" s="15" t="str">
        <f>TEXT(bd_Main[[#This Row],[Data]],"MMM")</f>
        <v>mar</v>
      </c>
      <c r="O50" s="15" t="str">
        <f>TEXT(bd_Main[[#This Row],[Data]],"AAAA")</f>
        <v>2020</v>
      </c>
    </row>
    <row r="51" spans="1:15" x14ac:dyDescent="0.25">
      <c r="A51" s="7">
        <f t="shared" si="0"/>
        <v>50</v>
      </c>
      <c r="B51" s="2">
        <v>43924</v>
      </c>
      <c r="C51" s="3" t="s">
        <v>90</v>
      </c>
      <c r="D51" s="3" t="s">
        <v>74</v>
      </c>
      <c r="E51" s="3" t="s">
        <v>17</v>
      </c>
      <c r="F51" s="3" t="s">
        <v>79</v>
      </c>
      <c r="G51" s="3">
        <v>0</v>
      </c>
      <c r="H51" s="3" t="s">
        <v>24</v>
      </c>
      <c r="I51" s="3" t="s">
        <v>63</v>
      </c>
      <c r="J51" s="3" t="s">
        <v>71</v>
      </c>
      <c r="K51" s="3" t="s">
        <v>12</v>
      </c>
      <c r="L51" s="4">
        <v>260</v>
      </c>
      <c r="M51" s="15" t="str">
        <f>TEXT(bd_Main[[#This Row],[Data]],"ddd")</f>
        <v>sex</v>
      </c>
      <c r="N51" s="15" t="str">
        <f>TEXT(bd_Main[[#This Row],[Data]],"MMM")</f>
        <v>abr</v>
      </c>
      <c r="O51" s="15" t="str">
        <f>TEXT(bd_Main[[#This Row],[Data]],"AAAA")</f>
        <v>2020</v>
      </c>
    </row>
    <row r="52" spans="1:15" x14ac:dyDescent="0.25">
      <c r="A52" s="7">
        <f t="shared" si="0"/>
        <v>51</v>
      </c>
      <c r="B52" s="2">
        <v>43925</v>
      </c>
      <c r="C52" s="3" t="s">
        <v>96</v>
      </c>
      <c r="D52" s="3" t="s">
        <v>74</v>
      </c>
      <c r="E52" s="3" t="s">
        <v>10</v>
      </c>
      <c r="F52" s="3" t="s">
        <v>83</v>
      </c>
      <c r="G52" s="3">
        <v>0</v>
      </c>
      <c r="H52" s="3" t="s">
        <v>32</v>
      </c>
      <c r="I52" s="3" t="s">
        <v>63</v>
      </c>
      <c r="J52" s="3" t="s">
        <v>69</v>
      </c>
      <c r="K52" s="3" t="s">
        <v>31</v>
      </c>
      <c r="L52" s="4">
        <v>40</v>
      </c>
      <c r="M52" s="15" t="str">
        <f>TEXT(bd_Main[[#This Row],[Data]],"ddd")</f>
        <v>sáb</v>
      </c>
      <c r="N52" s="15" t="str">
        <f>TEXT(bd_Main[[#This Row],[Data]],"MMM")</f>
        <v>abr</v>
      </c>
      <c r="O52" s="15" t="str">
        <f>TEXT(bd_Main[[#This Row],[Data]],"AAAA")</f>
        <v>2020</v>
      </c>
    </row>
    <row r="53" spans="1:15" x14ac:dyDescent="0.25">
      <c r="A53" s="7">
        <f t="shared" si="0"/>
        <v>52</v>
      </c>
      <c r="B53" s="2">
        <v>43925</v>
      </c>
      <c r="C53" s="3" t="s">
        <v>96</v>
      </c>
      <c r="D53" s="3" t="s">
        <v>74</v>
      </c>
      <c r="E53" s="3" t="s">
        <v>10</v>
      </c>
      <c r="F53" s="3" t="s">
        <v>82</v>
      </c>
      <c r="G53" s="3">
        <v>0</v>
      </c>
      <c r="H53" s="3" t="s">
        <v>30</v>
      </c>
      <c r="I53" s="3" t="s">
        <v>64</v>
      </c>
      <c r="J53" s="3" t="s">
        <v>70</v>
      </c>
      <c r="K53" s="3" t="s">
        <v>28</v>
      </c>
      <c r="L53" s="4">
        <v>2615</v>
      </c>
      <c r="M53" s="15" t="str">
        <f>TEXT(bd_Main[[#This Row],[Data]],"ddd")</f>
        <v>sáb</v>
      </c>
      <c r="N53" s="15" t="str">
        <f>TEXT(bd_Main[[#This Row],[Data]],"MMM")</f>
        <v>abr</v>
      </c>
      <c r="O53" s="15" t="str">
        <f>TEXT(bd_Main[[#This Row],[Data]],"AAAA")</f>
        <v>2020</v>
      </c>
    </row>
    <row r="54" spans="1:15" x14ac:dyDescent="0.25">
      <c r="A54" s="7">
        <f t="shared" si="0"/>
        <v>53</v>
      </c>
      <c r="B54" s="2">
        <v>43925</v>
      </c>
      <c r="C54" s="3" t="s">
        <v>95</v>
      </c>
      <c r="D54" s="3" t="s">
        <v>74</v>
      </c>
      <c r="E54" s="3" t="s">
        <v>14</v>
      </c>
      <c r="F54" s="3" t="s">
        <v>80</v>
      </c>
      <c r="G54" s="3">
        <v>4.5</v>
      </c>
      <c r="H54" s="3" t="s">
        <v>30</v>
      </c>
      <c r="I54" s="3" t="s">
        <v>62</v>
      </c>
      <c r="J54" s="3" t="s">
        <v>70</v>
      </c>
      <c r="K54" s="3" t="s">
        <v>19</v>
      </c>
      <c r="L54" s="4">
        <v>450</v>
      </c>
      <c r="M54" s="15" t="str">
        <f>TEXT(bd_Main[[#This Row],[Data]],"ddd")</f>
        <v>sáb</v>
      </c>
      <c r="N54" s="15" t="str">
        <f>TEXT(bd_Main[[#This Row],[Data]],"MMM")</f>
        <v>abr</v>
      </c>
      <c r="O54" s="15" t="str">
        <f>TEXT(bd_Main[[#This Row],[Data]],"AAAA")</f>
        <v>2020</v>
      </c>
    </row>
    <row r="55" spans="1:15" x14ac:dyDescent="0.25">
      <c r="A55" s="7">
        <f t="shared" si="0"/>
        <v>54</v>
      </c>
      <c r="B55" s="2">
        <v>43927</v>
      </c>
      <c r="C55" s="3" t="s">
        <v>13</v>
      </c>
      <c r="D55" s="3" t="s">
        <v>74</v>
      </c>
      <c r="E55" s="3" t="s">
        <v>17</v>
      </c>
      <c r="F55" s="3" t="s">
        <v>84</v>
      </c>
      <c r="G55" s="3">
        <v>0</v>
      </c>
      <c r="H55" s="3" t="s">
        <v>32</v>
      </c>
      <c r="I55" s="3" t="s">
        <v>64</v>
      </c>
      <c r="J55" s="3" t="s">
        <v>71</v>
      </c>
      <c r="K55" s="3" t="s">
        <v>28</v>
      </c>
      <c r="L55" s="4">
        <v>4462</v>
      </c>
      <c r="M55" s="15" t="str">
        <f>TEXT(bd_Main[[#This Row],[Data]],"ddd")</f>
        <v>seg</v>
      </c>
      <c r="N55" s="15" t="str">
        <f>TEXT(bd_Main[[#This Row],[Data]],"MMM")</f>
        <v>abr</v>
      </c>
      <c r="O55" s="15" t="str">
        <f>TEXT(bd_Main[[#This Row],[Data]],"AAAA")</f>
        <v>2020</v>
      </c>
    </row>
    <row r="56" spans="1:15" x14ac:dyDescent="0.25">
      <c r="A56" s="7">
        <f t="shared" si="0"/>
        <v>55</v>
      </c>
      <c r="B56" s="2">
        <v>43928</v>
      </c>
      <c r="C56" s="3" t="s">
        <v>90</v>
      </c>
      <c r="D56" s="3" t="s">
        <v>74</v>
      </c>
      <c r="E56" s="3" t="s">
        <v>10</v>
      </c>
      <c r="F56" s="3" t="s">
        <v>87</v>
      </c>
      <c r="G56" s="3">
        <v>0</v>
      </c>
      <c r="H56" s="3" t="s">
        <v>21</v>
      </c>
      <c r="I56" s="3" t="s">
        <v>63</v>
      </c>
      <c r="J56" s="3" t="s">
        <v>71</v>
      </c>
      <c r="K56" s="3" t="s">
        <v>23</v>
      </c>
      <c r="L56" s="4">
        <v>76</v>
      </c>
      <c r="M56" s="15" t="str">
        <f>TEXT(bd_Main[[#This Row],[Data]],"ddd")</f>
        <v>ter</v>
      </c>
      <c r="N56" s="15" t="str">
        <f>TEXT(bd_Main[[#This Row],[Data]],"MMM")</f>
        <v>abr</v>
      </c>
      <c r="O56" s="15" t="str">
        <f>TEXT(bd_Main[[#This Row],[Data]],"AAAA")</f>
        <v>2020</v>
      </c>
    </row>
    <row r="57" spans="1:15" x14ac:dyDescent="0.25">
      <c r="A57" s="7">
        <f t="shared" si="0"/>
        <v>56</v>
      </c>
      <c r="B57" s="2">
        <v>43933</v>
      </c>
      <c r="C57" s="3" t="s">
        <v>13</v>
      </c>
      <c r="D57" s="3" t="s">
        <v>74</v>
      </c>
      <c r="E57" s="3" t="s">
        <v>10</v>
      </c>
      <c r="F57" s="3" t="s">
        <v>81</v>
      </c>
      <c r="G57" s="3">
        <v>0</v>
      </c>
      <c r="H57" s="3" t="s">
        <v>21</v>
      </c>
      <c r="I57" s="3" t="s">
        <v>63</v>
      </c>
      <c r="J57" s="3" t="s">
        <v>71</v>
      </c>
      <c r="K57" s="3" t="s">
        <v>26</v>
      </c>
      <c r="L57" s="4">
        <v>297</v>
      </c>
      <c r="M57" s="15" t="str">
        <f>TEXT(bd_Main[[#This Row],[Data]],"ddd")</f>
        <v>dom</v>
      </c>
      <c r="N57" s="15" t="str">
        <f>TEXT(bd_Main[[#This Row],[Data]],"MMM")</f>
        <v>abr</v>
      </c>
      <c r="O57" s="15" t="str">
        <f>TEXT(bd_Main[[#This Row],[Data]],"AAAA")</f>
        <v>2020</v>
      </c>
    </row>
    <row r="58" spans="1:15" x14ac:dyDescent="0.25">
      <c r="A58" s="7">
        <f t="shared" si="0"/>
        <v>57</v>
      </c>
      <c r="B58" s="2">
        <v>43934</v>
      </c>
      <c r="C58" s="3" t="s">
        <v>94</v>
      </c>
      <c r="D58" s="3" t="s">
        <v>75</v>
      </c>
      <c r="E58" s="3" t="s">
        <v>20</v>
      </c>
      <c r="F58" s="3" t="s">
        <v>82</v>
      </c>
      <c r="G58" s="3">
        <v>4.5</v>
      </c>
      <c r="H58" s="3" t="s">
        <v>15</v>
      </c>
      <c r="I58" s="3" t="s">
        <v>62</v>
      </c>
      <c r="J58" s="3" t="s">
        <v>71</v>
      </c>
      <c r="K58" s="3" t="s">
        <v>16</v>
      </c>
      <c r="L58" s="4">
        <v>1152</v>
      </c>
      <c r="M58" s="15" t="str">
        <f>TEXT(bd_Main[[#This Row],[Data]],"ddd")</f>
        <v>seg</v>
      </c>
      <c r="N58" s="15" t="str">
        <f>TEXT(bd_Main[[#This Row],[Data]],"MMM")</f>
        <v>abr</v>
      </c>
      <c r="O58" s="15" t="str">
        <f>TEXT(bd_Main[[#This Row],[Data]],"AAAA")</f>
        <v>2020</v>
      </c>
    </row>
    <row r="59" spans="1:15" x14ac:dyDescent="0.25">
      <c r="A59" s="7">
        <f t="shared" si="0"/>
        <v>58</v>
      </c>
      <c r="B59" s="2">
        <v>43934</v>
      </c>
      <c r="C59" s="3" t="s">
        <v>90</v>
      </c>
      <c r="D59" s="3" t="s">
        <v>74</v>
      </c>
      <c r="E59" s="3" t="s">
        <v>17</v>
      </c>
      <c r="F59" s="3" t="s">
        <v>84</v>
      </c>
      <c r="G59" s="3">
        <v>0</v>
      </c>
      <c r="H59" s="3" t="s">
        <v>32</v>
      </c>
      <c r="I59" s="3" t="s">
        <v>61</v>
      </c>
      <c r="J59" s="3" t="s">
        <v>70</v>
      </c>
      <c r="K59" s="3" t="s">
        <v>28</v>
      </c>
      <c r="L59" s="4">
        <v>0</v>
      </c>
      <c r="M59" s="15" t="str">
        <f>TEXT(bd_Main[[#This Row],[Data]],"ddd")</f>
        <v>seg</v>
      </c>
      <c r="N59" s="15" t="str">
        <f>TEXT(bd_Main[[#This Row],[Data]],"MMM")</f>
        <v>abr</v>
      </c>
      <c r="O59" s="15" t="str">
        <f>TEXT(bd_Main[[#This Row],[Data]],"AAAA")</f>
        <v>2020</v>
      </c>
    </row>
    <row r="60" spans="1:15" x14ac:dyDescent="0.25">
      <c r="A60" s="7">
        <f t="shared" si="0"/>
        <v>59</v>
      </c>
      <c r="B60" s="2">
        <v>43935</v>
      </c>
      <c r="C60" s="3" t="s">
        <v>96</v>
      </c>
      <c r="D60" s="3" t="s">
        <v>74</v>
      </c>
      <c r="E60" s="3" t="s">
        <v>20</v>
      </c>
      <c r="F60" s="3" t="s">
        <v>79</v>
      </c>
      <c r="G60" s="3">
        <v>0</v>
      </c>
      <c r="H60" s="3" t="s">
        <v>29</v>
      </c>
      <c r="I60" s="3" t="s">
        <v>63</v>
      </c>
      <c r="J60" s="3" t="s">
        <v>71</v>
      </c>
      <c r="K60" s="3" t="s">
        <v>23</v>
      </c>
      <c r="L60" s="4">
        <v>173</v>
      </c>
      <c r="M60" s="15" t="str">
        <f>TEXT(bd_Main[[#This Row],[Data]],"ddd")</f>
        <v>ter</v>
      </c>
      <c r="N60" s="15" t="str">
        <f>TEXT(bd_Main[[#This Row],[Data]],"MMM")</f>
        <v>abr</v>
      </c>
      <c r="O60" s="15" t="str">
        <f>TEXT(bd_Main[[#This Row],[Data]],"AAAA")</f>
        <v>2020</v>
      </c>
    </row>
    <row r="61" spans="1:15" x14ac:dyDescent="0.25">
      <c r="A61" s="7">
        <f t="shared" si="0"/>
        <v>60</v>
      </c>
      <c r="B61" s="2">
        <v>43935</v>
      </c>
      <c r="C61" s="3" t="s">
        <v>95</v>
      </c>
      <c r="D61" s="3" t="s">
        <v>74</v>
      </c>
      <c r="E61" s="3" t="s">
        <v>20</v>
      </c>
      <c r="F61" s="3" t="s">
        <v>81</v>
      </c>
      <c r="G61" s="3">
        <v>0</v>
      </c>
      <c r="H61" s="3" t="s">
        <v>30</v>
      </c>
      <c r="I61" s="3" t="s">
        <v>61</v>
      </c>
      <c r="J61" s="3" t="s">
        <v>71</v>
      </c>
      <c r="K61" s="3" t="s">
        <v>28</v>
      </c>
      <c r="L61" s="4">
        <v>0</v>
      </c>
      <c r="M61" s="15" t="str">
        <f>TEXT(bd_Main[[#This Row],[Data]],"ddd")</f>
        <v>ter</v>
      </c>
      <c r="N61" s="15" t="str">
        <f>TEXT(bd_Main[[#This Row],[Data]],"MMM")</f>
        <v>abr</v>
      </c>
      <c r="O61" s="15" t="str">
        <f>TEXT(bd_Main[[#This Row],[Data]],"AAAA")</f>
        <v>2020</v>
      </c>
    </row>
    <row r="62" spans="1:15" x14ac:dyDescent="0.25">
      <c r="A62" s="7">
        <f t="shared" si="0"/>
        <v>61</v>
      </c>
      <c r="B62" s="2">
        <v>43936</v>
      </c>
      <c r="C62" s="3" t="s">
        <v>96</v>
      </c>
      <c r="D62" s="3" t="s">
        <v>74</v>
      </c>
      <c r="E62" s="3" t="s">
        <v>14</v>
      </c>
      <c r="F62" s="3" t="s">
        <v>80</v>
      </c>
      <c r="G62" s="3">
        <v>1.5</v>
      </c>
      <c r="H62" s="3" t="s">
        <v>32</v>
      </c>
      <c r="I62" s="3" t="s">
        <v>62</v>
      </c>
      <c r="J62" s="3" t="s">
        <v>69</v>
      </c>
      <c r="K62" s="3" t="s">
        <v>27</v>
      </c>
      <c r="L62" s="4">
        <v>4731</v>
      </c>
      <c r="M62" s="15" t="str">
        <f>TEXT(bd_Main[[#This Row],[Data]],"ddd")</f>
        <v>qua</v>
      </c>
      <c r="N62" s="15" t="str">
        <f>TEXT(bd_Main[[#This Row],[Data]],"MMM")</f>
        <v>abr</v>
      </c>
      <c r="O62" s="15" t="str">
        <f>TEXT(bd_Main[[#This Row],[Data]],"AAAA")</f>
        <v>2020</v>
      </c>
    </row>
    <row r="63" spans="1:15" x14ac:dyDescent="0.25">
      <c r="A63" s="7">
        <f t="shared" si="0"/>
        <v>62</v>
      </c>
      <c r="B63" s="2">
        <v>43937</v>
      </c>
      <c r="C63" s="3" t="s">
        <v>94</v>
      </c>
      <c r="D63" s="3" t="s">
        <v>74</v>
      </c>
      <c r="E63" s="3" t="s">
        <v>20</v>
      </c>
      <c r="F63" s="3" t="s">
        <v>79</v>
      </c>
      <c r="G63" s="3">
        <v>0</v>
      </c>
      <c r="H63" s="3" t="s">
        <v>11</v>
      </c>
      <c r="I63" s="3" t="s">
        <v>63</v>
      </c>
      <c r="J63" s="3" t="s">
        <v>69</v>
      </c>
      <c r="K63" s="3" t="s">
        <v>12</v>
      </c>
      <c r="L63" s="4">
        <v>155</v>
      </c>
      <c r="M63" s="15" t="str">
        <f>TEXT(bd_Main[[#This Row],[Data]],"ddd")</f>
        <v>qui</v>
      </c>
      <c r="N63" s="15" t="str">
        <f>TEXT(bd_Main[[#This Row],[Data]],"MMM")</f>
        <v>abr</v>
      </c>
      <c r="O63" s="15" t="str">
        <f>TEXT(bd_Main[[#This Row],[Data]],"AAAA")</f>
        <v>2020</v>
      </c>
    </row>
    <row r="64" spans="1:15" x14ac:dyDescent="0.25">
      <c r="A64" s="7">
        <f t="shared" si="0"/>
        <v>63</v>
      </c>
      <c r="B64" s="2">
        <v>43938</v>
      </c>
      <c r="C64" s="3" t="s">
        <v>33</v>
      </c>
      <c r="D64" s="3" t="s">
        <v>74</v>
      </c>
      <c r="E64" s="3" t="s">
        <v>10</v>
      </c>
      <c r="F64" s="3" t="s">
        <v>86</v>
      </c>
      <c r="G64" s="3">
        <v>3</v>
      </c>
      <c r="H64" s="3" t="s">
        <v>18</v>
      </c>
      <c r="I64" s="3" t="s">
        <v>62</v>
      </c>
      <c r="J64" s="3" t="s">
        <v>71</v>
      </c>
      <c r="K64" s="3" t="s">
        <v>19</v>
      </c>
      <c r="L64" s="4">
        <v>3425</v>
      </c>
      <c r="M64" s="15" t="str">
        <f>TEXT(bd_Main[[#This Row],[Data]],"ddd")</f>
        <v>sex</v>
      </c>
      <c r="N64" s="15" t="str">
        <f>TEXT(bd_Main[[#This Row],[Data]],"MMM")</f>
        <v>abr</v>
      </c>
      <c r="O64" s="15" t="str">
        <f>TEXT(bd_Main[[#This Row],[Data]],"AAAA")</f>
        <v>2020</v>
      </c>
    </row>
    <row r="65" spans="1:15" x14ac:dyDescent="0.25">
      <c r="A65" s="7">
        <f t="shared" si="0"/>
        <v>64</v>
      </c>
      <c r="B65" s="2">
        <v>43939</v>
      </c>
      <c r="C65" s="3" t="s">
        <v>91</v>
      </c>
      <c r="D65" s="3" t="s">
        <v>74</v>
      </c>
      <c r="E65" s="3" t="s">
        <v>10</v>
      </c>
      <c r="F65" s="3" t="s">
        <v>79</v>
      </c>
      <c r="G65" s="3">
        <v>0</v>
      </c>
      <c r="H65" s="3" t="s">
        <v>15</v>
      </c>
      <c r="I65" s="3" t="s">
        <v>61</v>
      </c>
      <c r="J65" s="3" t="s">
        <v>71</v>
      </c>
      <c r="K65" s="3" t="s">
        <v>19</v>
      </c>
      <c r="L65" s="4">
        <v>0</v>
      </c>
      <c r="M65" s="15" t="str">
        <f>TEXT(bd_Main[[#This Row],[Data]],"ddd")</f>
        <v>sáb</v>
      </c>
      <c r="N65" s="15" t="str">
        <f>TEXT(bd_Main[[#This Row],[Data]],"MMM")</f>
        <v>abr</v>
      </c>
      <c r="O65" s="15" t="str">
        <f>TEXT(bd_Main[[#This Row],[Data]],"AAAA")</f>
        <v>2020</v>
      </c>
    </row>
    <row r="66" spans="1:15" x14ac:dyDescent="0.25">
      <c r="A66" s="7">
        <f t="shared" ref="A66:A129" si="1">ROW(A66)-1</f>
        <v>65</v>
      </c>
      <c r="B66" s="2">
        <v>43942</v>
      </c>
      <c r="C66" s="3" t="s">
        <v>95</v>
      </c>
      <c r="D66" s="3" t="s">
        <v>74</v>
      </c>
      <c r="E66" s="3" t="s">
        <v>17</v>
      </c>
      <c r="F66" s="3" t="s">
        <v>85</v>
      </c>
      <c r="G66" s="3">
        <v>3</v>
      </c>
      <c r="H66" s="3" t="s">
        <v>24</v>
      </c>
      <c r="I66" s="3" t="s">
        <v>62</v>
      </c>
      <c r="J66" s="3" t="s">
        <v>71</v>
      </c>
      <c r="K66" s="3" t="s">
        <v>16</v>
      </c>
      <c r="L66" s="4">
        <v>2627</v>
      </c>
      <c r="M66" s="15" t="str">
        <f>TEXT(bd_Main[[#This Row],[Data]],"ddd")</f>
        <v>ter</v>
      </c>
      <c r="N66" s="15" t="str">
        <f>TEXT(bd_Main[[#This Row],[Data]],"MMM")</f>
        <v>abr</v>
      </c>
      <c r="O66" s="15" t="str">
        <f>TEXT(bd_Main[[#This Row],[Data]],"AAAA")</f>
        <v>2020</v>
      </c>
    </row>
    <row r="67" spans="1:15" x14ac:dyDescent="0.25">
      <c r="A67" s="7">
        <f t="shared" si="1"/>
        <v>66</v>
      </c>
      <c r="B67" s="2">
        <v>43942</v>
      </c>
      <c r="C67" s="3" t="s">
        <v>94</v>
      </c>
      <c r="D67" s="3" t="s">
        <v>75</v>
      </c>
      <c r="E67" s="3" t="s">
        <v>17</v>
      </c>
      <c r="F67" s="3" t="s">
        <v>82</v>
      </c>
      <c r="G67" s="3">
        <v>4</v>
      </c>
      <c r="H67" s="3" t="s">
        <v>29</v>
      </c>
      <c r="I67" s="3" t="s">
        <v>62</v>
      </c>
      <c r="J67" s="3" t="s">
        <v>69</v>
      </c>
      <c r="K67" s="3" t="s">
        <v>27</v>
      </c>
      <c r="L67" s="4">
        <v>3680</v>
      </c>
      <c r="M67" s="15" t="str">
        <f>TEXT(bd_Main[[#This Row],[Data]],"ddd")</f>
        <v>ter</v>
      </c>
      <c r="N67" s="15" t="str">
        <f>TEXT(bd_Main[[#This Row],[Data]],"MMM")</f>
        <v>abr</v>
      </c>
      <c r="O67" s="15" t="str">
        <f>TEXT(bd_Main[[#This Row],[Data]],"AAAA")</f>
        <v>2020</v>
      </c>
    </row>
    <row r="68" spans="1:15" x14ac:dyDescent="0.25">
      <c r="A68" s="7">
        <f t="shared" si="1"/>
        <v>67</v>
      </c>
      <c r="B68" s="2">
        <v>43943</v>
      </c>
      <c r="C68" s="3" t="s">
        <v>90</v>
      </c>
      <c r="D68" s="3" t="s">
        <v>74</v>
      </c>
      <c r="E68" s="3" t="s">
        <v>14</v>
      </c>
      <c r="F68" s="3" t="s">
        <v>82</v>
      </c>
      <c r="G68" s="3">
        <v>0</v>
      </c>
      <c r="H68" s="3" t="s">
        <v>11</v>
      </c>
      <c r="I68" s="3" t="s">
        <v>63</v>
      </c>
      <c r="J68" s="3" t="s">
        <v>70</v>
      </c>
      <c r="K68" s="3" t="s">
        <v>19</v>
      </c>
      <c r="L68" s="4">
        <v>281</v>
      </c>
      <c r="M68" s="15" t="str">
        <f>TEXT(bd_Main[[#This Row],[Data]],"ddd")</f>
        <v>qua</v>
      </c>
      <c r="N68" s="15" t="str">
        <f>TEXT(bd_Main[[#This Row],[Data]],"MMM")</f>
        <v>abr</v>
      </c>
      <c r="O68" s="15" t="str">
        <f>TEXT(bd_Main[[#This Row],[Data]],"AAAA")</f>
        <v>2020</v>
      </c>
    </row>
    <row r="69" spans="1:15" x14ac:dyDescent="0.25">
      <c r="A69" s="7">
        <f t="shared" si="1"/>
        <v>68</v>
      </c>
      <c r="B69" s="2">
        <v>43943</v>
      </c>
      <c r="C69" s="3" t="s">
        <v>90</v>
      </c>
      <c r="D69" s="3" t="s">
        <v>74</v>
      </c>
      <c r="E69" s="3" t="s">
        <v>17</v>
      </c>
      <c r="F69" s="3" t="s">
        <v>83</v>
      </c>
      <c r="G69" s="3">
        <v>0</v>
      </c>
      <c r="H69" s="3" t="s">
        <v>11</v>
      </c>
      <c r="I69" s="3" t="s">
        <v>61</v>
      </c>
      <c r="J69" s="3" t="s">
        <v>69</v>
      </c>
      <c r="K69" s="3" t="s">
        <v>22</v>
      </c>
      <c r="L69" s="4">
        <v>0</v>
      </c>
      <c r="M69" s="15" t="str">
        <f>TEXT(bd_Main[[#This Row],[Data]],"ddd")</f>
        <v>qua</v>
      </c>
      <c r="N69" s="15" t="str">
        <f>TEXT(bd_Main[[#This Row],[Data]],"MMM")</f>
        <v>abr</v>
      </c>
      <c r="O69" s="15" t="str">
        <f>TEXT(bd_Main[[#This Row],[Data]],"AAAA")</f>
        <v>2020</v>
      </c>
    </row>
    <row r="70" spans="1:15" x14ac:dyDescent="0.25">
      <c r="A70" s="7">
        <f t="shared" si="1"/>
        <v>69</v>
      </c>
      <c r="B70" s="2">
        <v>43945</v>
      </c>
      <c r="C70" s="3" t="s">
        <v>96</v>
      </c>
      <c r="D70" s="3" t="s">
        <v>74</v>
      </c>
      <c r="E70" s="3" t="s">
        <v>17</v>
      </c>
      <c r="F70" s="3" t="s">
        <v>87</v>
      </c>
      <c r="G70" s="3">
        <v>1</v>
      </c>
      <c r="H70" s="3" t="s">
        <v>30</v>
      </c>
      <c r="I70" s="3" t="s">
        <v>62</v>
      </c>
      <c r="J70" s="3" t="s">
        <v>70</v>
      </c>
      <c r="K70" s="3" t="s">
        <v>26</v>
      </c>
      <c r="L70" s="4">
        <v>3954</v>
      </c>
      <c r="M70" s="15" t="str">
        <f>TEXT(bd_Main[[#This Row],[Data]],"ddd")</f>
        <v>sex</v>
      </c>
      <c r="N70" s="15" t="str">
        <f>TEXT(bd_Main[[#This Row],[Data]],"MMM")</f>
        <v>abr</v>
      </c>
      <c r="O70" s="15" t="str">
        <f>TEXT(bd_Main[[#This Row],[Data]],"AAAA")</f>
        <v>2020</v>
      </c>
    </row>
    <row r="71" spans="1:15" x14ac:dyDescent="0.25">
      <c r="A71" s="7">
        <f t="shared" si="1"/>
        <v>70</v>
      </c>
      <c r="B71" s="2">
        <v>43946</v>
      </c>
      <c r="C71" s="3" t="s">
        <v>94</v>
      </c>
      <c r="D71" s="3" t="s">
        <v>75</v>
      </c>
      <c r="E71" s="3" t="s">
        <v>20</v>
      </c>
      <c r="F71" s="3" t="s">
        <v>83</v>
      </c>
      <c r="G71" s="3">
        <v>0</v>
      </c>
      <c r="H71" s="3" t="s">
        <v>30</v>
      </c>
      <c r="I71" s="3" t="s">
        <v>61</v>
      </c>
      <c r="J71" s="3" t="s">
        <v>70</v>
      </c>
      <c r="K71" s="3" t="s">
        <v>23</v>
      </c>
      <c r="L71" s="4">
        <v>0</v>
      </c>
      <c r="M71" s="15" t="str">
        <f>TEXT(bd_Main[[#This Row],[Data]],"ddd")</f>
        <v>sáb</v>
      </c>
      <c r="N71" s="15" t="str">
        <f>TEXT(bd_Main[[#This Row],[Data]],"MMM")</f>
        <v>abr</v>
      </c>
      <c r="O71" s="15" t="str">
        <f>TEXT(bd_Main[[#This Row],[Data]],"AAAA")</f>
        <v>2020</v>
      </c>
    </row>
    <row r="72" spans="1:15" x14ac:dyDescent="0.25">
      <c r="A72" s="7">
        <f t="shared" si="1"/>
        <v>71</v>
      </c>
      <c r="B72" s="2">
        <v>43948</v>
      </c>
      <c r="C72" s="3" t="s">
        <v>96</v>
      </c>
      <c r="D72" s="3" t="s">
        <v>75</v>
      </c>
      <c r="E72" s="3" t="s">
        <v>17</v>
      </c>
      <c r="F72" s="3" t="s">
        <v>84</v>
      </c>
      <c r="G72" s="3">
        <v>0</v>
      </c>
      <c r="H72" s="3" t="s">
        <v>24</v>
      </c>
      <c r="I72" s="3" t="s">
        <v>61</v>
      </c>
      <c r="J72" s="3" t="s">
        <v>70</v>
      </c>
      <c r="K72" s="3" t="s">
        <v>23</v>
      </c>
      <c r="L72" s="4">
        <v>0</v>
      </c>
      <c r="M72" s="15" t="str">
        <f>TEXT(bd_Main[[#This Row],[Data]],"ddd")</f>
        <v>seg</v>
      </c>
      <c r="N72" s="15" t="str">
        <f>TEXT(bd_Main[[#This Row],[Data]],"MMM")</f>
        <v>abr</v>
      </c>
      <c r="O72" s="15" t="str">
        <f>TEXT(bd_Main[[#This Row],[Data]],"AAAA")</f>
        <v>2020</v>
      </c>
    </row>
    <row r="73" spans="1:15" x14ac:dyDescent="0.25">
      <c r="A73" s="7">
        <f t="shared" si="1"/>
        <v>72</v>
      </c>
      <c r="B73" s="2">
        <v>43953</v>
      </c>
      <c r="C73" s="3" t="s">
        <v>90</v>
      </c>
      <c r="D73" s="3" t="s">
        <v>74</v>
      </c>
      <c r="E73" s="3" t="s">
        <v>10</v>
      </c>
      <c r="F73" s="3" t="s">
        <v>87</v>
      </c>
      <c r="G73" s="3">
        <v>0</v>
      </c>
      <c r="H73" s="3" t="s">
        <v>32</v>
      </c>
      <c r="I73" s="3" t="s">
        <v>64</v>
      </c>
      <c r="J73" s="3" t="s">
        <v>70</v>
      </c>
      <c r="K73" s="3" t="s">
        <v>26</v>
      </c>
      <c r="L73" s="4">
        <v>2461</v>
      </c>
      <c r="M73" s="15" t="str">
        <f>TEXT(bd_Main[[#This Row],[Data]],"ddd")</f>
        <v>sáb</v>
      </c>
      <c r="N73" s="15" t="str">
        <f>TEXT(bd_Main[[#This Row],[Data]],"MMM")</f>
        <v>mai</v>
      </c>
      <c r="O73" s="15" t="str">
        <f>TEXT(bd_Main[[#This Row],[Data]],"AAAA")</f>
        <v>2020</v>
      </c>
    </row>
    <row r="74" spans="1:15" x14ac:dyDescent="0.25">
      <c r="A74" s="7">
        <f t="shared" si="1"/>
        <v>73</v>
      </c>
      <c r="B74" s="2">
        <v>43955</v>
      </c>
      <c r="C74" s="3" t="s">
        <v>94</v>
      </c>
      <c r="D74" s="3" t="s">
        <v>74</v>
      </c>
      <c r="E74" s="3" t="s">
        <v>10</v>
      </c>
      <c r="F74" s="3" t="s">
        <v>85</v>
      </c>
      <c r="G74" s="3">
        <v>0</v>
      </c>
      <c r="H74" s="3" t="s">
        <v>32</v>
      </c>
      <c r="I74" s="3" t="s">
        <v>64</v>
      </c>
      <c r="J74" s="3" t="s">
        <v>70</v>
      </c>
      <c r="K74" s="3" t="s">
        <v>19</v>
      </c>
      <c r="L74" s="4">
        <v>3851</v>
      </c>
      <c r="M74" s="15" t="str">
        <f>TEXT(bd_Main[[#This Row],[Data]],"ddd")</f>
        <v>seg</v>
      </c>
      <c r="N74" s="15" t="str">
        <f>TEXT(bd_Main[[#This Row],[Data]],"MMM")</f>
        <v>mai</v>
      </c>
      <c r="O74" s="15" t="str">
        <f>TEXT(bd_Main[[#This Row],[Data]],"AAAA")</f>
        <v>2020</v>
      </c>
    </row>
    <row r="75" spans="1:15" x14ac:dyDescent="0.25">
      <c r="A75" s="7">
        <f t="shared" si="1"/>
        <v>74</v>
      </c>
      <c r="B75" s="2">
        <v>43956</v>
      </c>
      <c r="C75" s="3" t="s">
        <v>93</v>
      </c>
      <c r="D75" s="3" t="s">
        <v>74</v>
      </c>
      <c r="E75" s="3" t="s">
        <v>20</v>
      </c>
      <c r="F75" s="3" t="s">
        <v>79</v>
      </c>
      <c r="G75" s="3">
        <v>0</v>
      </c>
      <c r="H75" s="3" t="s">
        <v>25</v>
      </c>
      <c r="I75" s="3" t="s">
        <v>63</v>
      </c>
      <c r="J75" s="3" t="s">
        <v>71</v>
      </c>
      <c r="K75" s="3" t="s">
        <v>28</v>
      </c>
      <c r="L75" s="4">
        <v>224</v>
      </c>
      <c r="M75" s="15" t="str">
        <f>TEXT(bd_Main[[#This Row],[Data]],"ddd")</f>
        <v>ter</v>
      </c>
      <c r="N75" s="15" t="str">
        <f>TEXT(bd_Main[[#This Row],[Data]],"MMM")</f>
        <v>mai</v>
      </c>
      <c r="O75" s="15" t="str">
        <f>TEXT(bd_Main[[#This Row],[Data]],"AAAA")</f>
        <v>2020</v>
      </c>
    </row>
    <row r="76" spans="1:15" x14ac:dyDescent="0.25">
      <c r="A76" s="7">
        <f t="shared" si="1"/>
        <v>75</v>
      </c>
      <c r="B76" s="2">
        <v>43958</v>
      </c>
      <c r="C76" s="3" t="s">
        <v>91</v>
      </c>
      <c r="D76" s="3" t="s">
        <v>74</v>
      </c>
      <c r="E76" s="3" t="s">
        <v>17</v>
      </c>
      <c r="F76" s="3" t="s">
        <v>87</v>
      </c>
      <c r="G76" s="3">
        <v>4</v>
      </c>
      <c r="H76" s="3" t="s">
        <v>25</v>
      </c>
      <c r="I76" s="3" t="s">
        <v>62</v>
      </c>
      <c r="J76" s="3" t="s">
        <v>71</v>
      </c>
      <c r="K76" s="3" t="s">
        <v>28</v>
      </c>
      <c r="L76" s="4">
        <v>3969</v>
      </c>
      <c r="M76" s="15" t="str">
        <f>TEXT(bd_Main[[#This Row],[Data]],"ddd")</f>
        <v>qui</v>
      </c>
      <c r="N76" s="15" t="str">
        <f>TEXT(bd_Main[[#This Row],[Data]],"MMM")</f>
        <v>mai</v>
      </c>
      <c r="O76" s="15" t="str">
        <f>TEXT(bd_Main[[#This Row],[Data]],"AAAA")</f>
        <v>2020</v>
      </c>
    </row>
    <row r="77" spans="1:15" x14ac:dyDescent="0.25">
      <c r="A77" s="7">
        <f t="shared" si="1"/>
        <v>76</v>
      </c>
      <c r="B77" s="2">
        <v>43959</v>
      </c>
      <c r="C77" s="3" t="s">
        <v>95</v>
      </c>
      <c r="D77" s="3" t="s">
        <v>74</v>
      </c>
      <c r="E77" s="3" t="s">
        <v>17</v>
      </c>
      <c r="F77" s="3" t="s">
        <v>79</v>
      </c>
      <c r="G77" s="3">
        <v>0</v>
      </c>
      <c r="H77" s="3" t="s">
        <v>15</v>
      </c>
      <c r="I77" s="3" t="s">
        <v>63</v>
      </c>
      <c r="J77" s="3" t="s">
        <v>71</v>
      </c>
      <c r="K77" s="3" t="s">
        <v>19</v>
      </c>
      <c r="L77" s="4">
        <v>434</v>
      </c>
      <c r="M77" s="15" t="str">
        <f>TEXT(bd_Main[[#This Row],[Data]],"ddd")</f>
        <v>sex</v>
      </c>
      <c r="N77" s="15" t="str">
        <f>TEXT(bd_Main[[#This Row],[Data]],"MMM")</f>
        <v>mai</v>
      </c>
      <c r="O77" s="15" t="str">
        <f>TEXT(bd_Main[[#This Row],[Data]],"AAAA")</f>
        <v>2020</v>
      </c>
    </row>
    <row r="78" spans="1:15" x14ac:dyDescent="0.25">
      <c r="A78" s="7">
        <f t="shared" si="1"/>
        <v>77</v>
      </c>
      <c r="B78" s="2">
        <v>43959</v>
      </c>
      <c r="C78" s="3" t="s">
        <v>91</v>
      </c>
      <c r="D78" s="3" t="s">
        <v>74</v>
      </c>
      <c r="E78" s="3" t="s">
        <v>20</v>
      </c>
      <c r="F78" s="3" t="s">
        <v>86</v>
      </c>
      <c r="G78" s="3">
        <v>1</v>
      </c>
      <c r="H78" s="3" t="s">
        <v>21</v>
      </c>
      <c r="I78" s="3" t="s">
        <v>62</v>
      </c>
      <c r="J78" s="3" t="s">
        <v>71</v>
      </c>
      <c r="K78" s="3" t="s">
        <v>31</v>
      </c>
      <c r="L78" s="4">
        <v>1173</v>
      </c>
      <c r="M78" s="15" t="str">
        <f>TEXT(bd_Main[[#This Row],[Data]],"ddd")</f>
        <v>sex</v>
      </c>
      <c r="N78" s="15" t="str">
        <f>TEXT(bd_Main[[#This Row],[Data]],"MMM")</f>
        <v>mai</v>
      </c>
      <c r="O78" s="15" t="str">
        <f>TEXT(bd_Main[[#This Row],[Data]],"AAAA")</f>
        <v>2020</v>
      </c>
    </row>
    <row r="79" spans="1:15" x14ac:dyDescent="0.25">
      <c r="A79" s="7">
        <f t="shared" si="1"/>
        <v>78</v>
      </c>
      <c r="B79" s="2">
        <v>43960</v>
      </c>
      <c r="C79" s="3" t="s">
        <v>94</v>
      </c>
      <c r="D79" s="3" t="s">
        <v>74</v>
      </c>
      <c r="E79" s="3" t="s">
        <v>14</v>
      </c>
      <c r="F79" s="3" t="s">
        <v>81</v>
      </c>
      <c r="G79" s="3">
        <v>0</v>
      </c>
      <c r="H79" s="3" t="s">
        <v>15</v>
      </c>
      <c r="I79" s="3" t="s">
        <v>63</v>
      </c>
      <c r="J79" s="3" t="s">
        <v>69</v>
      </c>
      <c r="K79" s="3" t="s">
        <v>26</v>
      </c>
      <c r="L79" s="4">
        <v>236</v>
      </c>
      <c r="M79" s="15" t="str">
        <f>TEXT(bd_Main[[#This Row],[Data]],"ddd")</f>
        <v>sáb</v>
      </c>
      <c r="N79" s="15" t="str">
        <f>TEXT(bd_Main[[#This Row],[Data]],"MMM")</f>
        <v>mai</v>
      </c>
      <c r="O79" s="15" t="str">
        <f>TEXT(bd_Main[[#This Row],[Data]],"AAAA")</f>
        <v>2020</v>
      </c>
    </row>
    <row r="80" spans="1:15" x14ac:dyDescent="0.25">
      <c r="A80" s="7">
        <f t="shared" si="1"/>
        <v>79</v>
      </c>
      <c r="B80" s="2">
        <v>43961</v>
      </c>
      <c r="C80" s="3" t="s">
        <v>96</v>
      </c>
      <c r="D80" s="3" t="s">
        <v>74</v>
      </c>
      <c r="E80" s="3" t="s">
        <v>14</v>
      </c>
      <c r="F80" s="3" t="s">
        <v>87</v>
      </c>
      <c r="G80" s="3">
        <v>0</v>
      </c>
      <c r="H80" s="3" t="s">
        <v>11</v>
      </c>
      <c r="I80" s="3" t="s">
        <v>61</v>
      </c>
      <c r="J80" s="3" t="s">
        <v>70</v>
      </c>
      <c r="K80" s="3" t="s">
        <v>19</v>
      </c>
      <c r="L80" s="4">
        <v>0</v>
      </c>
      <c r="M80" s="15" t="str">
        <f>TEXT(bd_Main[[#This Row],[Data]],"ddd")</f>
        <v>dom</v>
      </c>
      <c r="N80" s="15" t="str">
        <f>TEXT(bd_Main[[#This Row],[Data]],"MMM")</f>
        <v>mai</v>
      </c>
      <c r="O80" s="15" t="str">
        <f>TEXT(bd_Main[[#This Row],[Data]],"AAAA")</f>
        <v>2020</v>
      </c>
    </row>
    <row r="81" spans="1:15" x14ac:dyDescent="0.25">
      <c r="A81" s="7">
        <f t="shared" si="1"/>
        <v>80</v>
      </c>
      <c r="B81" s="2">
        <v>43961</v>
      </c>
      <c r="C81" s="3" t="s">
        <v>93</v>
      </c>
      <c r="D81" s="3" t="s">
        <v>74</v>
      </c>
      <c r="E81" s="3" t="s">
        <v>14</v>
      </c>
      <c r="F81" s="3" t="s">
        <v>86</v>
      </c>
      <c r="G81" s="3">
        <v>1.5</v>
      </c>
      <c r="H81" s="3" t="s">
        <v>30</v>
      </c>
      <c r="I81" s="3" t="s">
        <v>62</v>
      </c>
      <c r="J81" s="3" t="s">
        <v>71</v>
      </c>
      <c r="K81" s="3" t="s">
        <v>26</v>
      </c>
      <c r="L81" s="4">
        <v>1592</v>
      </c>
      <c r="M81" s="15" t="str">
        <f>TEXT(bd_Main[[#This Row],[Data]],"ddd")</f>
        <v>dom</v>
      </c>
      <c r="N81" s="15" t="str">
        <f>TEXT(bd_Main[[#This Row],[Data]],"MMM")</f>
        <v>mai</v>
      </c>
      <c r="O81" s="15" t="str">
        <f>TEXT(bd_Main[[#This Row],[Data]],"AAAA")</f>
        <v>2020</v>
      </c>
    </row>
    <row r="82" spans="1:15" x14ac:dyDescent="0.25">
      <c r="A82" s="7">
        <f t="shared" si="1"/>
        <v>81</v>
      </c>
      <c r="B82" s="2">
        <v>43962</v>
      </c>
      <c r="C82" s="3" t="s">
        <v>33</v>
      </c>
      <c r="D82" s="3" t="s">
        <v>74</v>
      </c>
      <c r="E82" s="3" t="s">
        <v>20</v>
      </c>
      <c r="F82" s="3" t="s">
        <v>84</v>
      </c>
      <c r="G82" s="3">
        <v>0</v>
      </c>
      <c r="H82" s="3" t="s">
        <v>18</v>
      </c>
      <c r="I82" s="3" t="s">
        <v>61</v>
      </c>
      <c r="J82" s="3" t="s">
        <v>71</v>
      </c>
      <c r="K82" s="3" t="s">
        <v>27</v>
      </c>
      <c r="L82" s="4">
        <v>0</v>
      </c>
      <c r="M82" s="15" t="str">
        <f>TEXT(bd_Main[[#This Row],[Data]],"ddd")</f>
        <v>seg</v>
      </c>
      <c r="N82" s="15" t="str">
        <f>TEXT(bd_Main[[#This Row],[Data]],"MMM")</f>
        <v>mai</v>
      </c>
      <c r="O82" s="15" t="str">
        <f>TEXT(bd_Main[[#This Row],[Data]],"AAAA")</f>
        <v>2020</v>
      </c>
    </row>
    <row r="83" spans="1:15" x14ac:dyDescent="0.25">
      <c r="A83" s="7">
        <f t="shared" si="1"/>
        <v>82</v>
      </c>
      <c r="B83" s="2">
        <v>43964</v>
      </c>
      <c r="C83" s="3" t="s">
        <v>93</v>
      </c>
      <c r="D83" s="3" t="s">
        <v>74</v>
      </c>
      <c r="E83" s="3" t="s">
        <v>20</v>
      </c>
      <c r="F83" s="3" t="s">
        <v>81</v>
      </c>
      <c r="G83" s="3">
        <v>0</v>
      </c>
      <c r="H83" s="3" t="s">
        <v>30</v>
      </c>
      <c r="I83" s="3" t="s">
        <v>61</v>
      </c>
      <c r="J83" s="3" t="s">
        <v>69</v>
      </c>
      <c r="K83" s="3" t="s">
        <v>31</v>
      </c>
      <c r="L83" s="4">
        <v>0</v>
      </c>
      <c r="M83" s="15" t="str">
        <f>TEXT(bd_Main[[#This Row],[Data]],"ddd")</f>
        <v>qua</v>
      </c>
      <c r="N83" s="15" t="str">
        <f>TEXT(bd_Main[[#This Row],[Data]],"MMM")</f>
        <v>mai</v>
      </c>
      <c r="O83" s="15" t="str">
        <f>TEXT(bd_Main[[#This Row],[Data]],"AAAA")</f>
        <v>2020</v>
      </c>
    </row>
    <row r="84" spans="1:15" x14ac:dyDescent="0.25">
      <c r="A84" s="7">
        <f t="shared" si="1"/>
        <v>83</v>
      </c>
      <c r="B84" s="2">
        <v>43964</v>
      </c>
      <c r="C84" s="3" t="s">
        <v>91</v>
      </c>
      <c r="D84" s="3" t="s">
        <v>74</v>
      </c>
      <c r="E84" s="3" t="s">
        <v>14</v>
      </c>
      <c r="F84" s="3" t="s">
        <v>85</v>
      </c>
      <c r="G84" s="3">
        <v>0</v>
      </c>
      <c r="H84" s="3" t="s">
        <v>32</v>
      </c>
      <c r="I84" s="3" t="s">
        <v>63</v>
      </c>
      <c r="J84" s="3" t="s">
        <v>71</v>
      </c>
      <c r="K84" s="3" t="s">
        <v>26</v>
      </c>
      <c r="L84" s="4">
        <v>457</v>
      </c>
      <c r="M84" s="15" t="str">
        <f>TEXT(bd_Main[[#This Row],[Data]],"ddd")</f>
        <v>qua</v>
      </c>
      <c r="N84" s="15" t="str">
        <f>TEXT(bd_Main[[#This Row],[Data]],"MMM")</f>
        <v>mai</v>
      </c>
      <c r="O84" s="15" t="str">
        <f>TEXT(bd_Main[[#This Row],[Data]],"AAAA")</f>
        <v>2020</v>
      </c>
    </row>
    <row r="85" spans="1:15" x14ac:dyDescent="0.25">
      <c r="A85" s="7">
        <f t="shared" si="1"/>
        <v>84</v>
      </c>
      <c r="B85" s="2">
        <v>43968</v>
      </c>
      <c r="C85" s="3" t="s">
        <v>13</v>
      </c>
      <c r="D85" s="3" t="s">
        <v>74</v>
      </c>
      <c r="E85" s="3" t="s">
        <v>14</v>
      </c>
      <c r="F85" s="3" t="s">
        <v>85</v>
      </c>
      <c r="G85" s="3">
        <v>0</v>
      </c>
      <c r="H85" s="3" t="s">
        <v>21</v>
      </c>
      <c r="I85" s="3" t="s">
        <v>61</v>
      </c>
      <c r="J85" s="3" t="s">
        <v>70</v>
      </c>
      <c r="K85" s="3" t="s">
        <v>22</v>
      </c>
      <c r="L85" s="4">
        <v>0</v>
      </c>
      <c r="M85" s="15" t="str">
        <f>TEXT(bd_Main[[#This Row],[Data]],"ddd")</f>
        <v>dom</v>
      </c>
      <c r="N85" s="15" t="str">
        <f>TEXT(bd_Main[[#This Row],[Data]],"MMM")</f>
        <v>mai</v>
      </c>
      <c r="O85" s="15" t="str">
        <f>TEXT(bd_Main[[#This Row],[Data]],"AAAA")</f>
        <v>2020</v>
      </c>
    </row>
    <row r="86" spans="1:15" x14ac:dyDescent="0.25">
      <c r="A86" s="7">
        <f t="shared" si="1"/>
        <v>85</v>
      </c>
      <c r="B86" s="2">
        <v>43968</v>
      </c>
      <c r="C86" s="3" t="s">
        <v>94</v>
      </c>
      <c r="D86" s="3" t="s">
        <v>74</v>
      </c>
      <c r="E86" s="3" t="s">
        <v>17</v>
      </c>
      <c r="F86" s="3" t="s">
        <v>81</v>
      </c>
      <c r="G86" s="3">
        <v>0</v>
      </c>
      <c r="H86" s="3" t="s">
        <v>21</v>
      </c>
      <c r="I86" s="3" t="s">
        <v>63</v>
      </c>
      <c r="J86" s="3" t="s">
        <v>69</v>
      </c>
      <c r="K86" s="3" t="s">
        <v>22</v>
      </c>
      <c r="L86" s="4">
        <v>247</v>
      </c>
      <c r="M86" s="15" t="str">
        <f>TEXT(bd_Main[[#This Row],[Data]],"ddd")</f>
        <v>dom</v>
      </c>
      <c r="N86" s="15" t="str">
        <f>TEXT(bd_Main[[#This Row],[Data]],"MMM")</f>
        <v>mai</v>
      </c>
      <c r="O86" s="15" t="str">
        <f>TEXT(bd_Main[[#This Row],[Data]],"AAAA")</f>
        <v>2020</v>
      </c>
    </row>
    <row r="87" spans="1:15" x14ac:dyDescent="0.25">
      <c r="A87" s="7">
        <f t="shared" si="1"/>
        <v>86</v>
      </c>
      <c r="B87" s="2">
        <v>43970</v>
      </c>
      <c r="C87" s="3" t="s">
        <v>95</v>
      </c>
      <c r="D87" s="3" t="s">
        <v>74</v>
      </c>
      <c r="E87" s="3" t="s">
        <v>10</v>
      </c>
      <c r="F87" s="3" t="s">
        <v>86</v>
      </c>
      <c r="G87" s="3">
        <v>0</v>
      </c>
      <c r="H87" s="3" t="s">
        <v>18</v>
      </c>
      <c r="I87" s="3" t="s">
        <v>63</v>
      </c>
      <c r="J87" s="3" t="s">
        <v>71</v>
      </c>
      <c r="K87" s="3" t="s">
        <v>19</v>
      </c>
      <c r="L87" s="4">
        <v>457</v>
      </c>
      <c r="M87" s="15" t="str">
        <f>TEXT(bd_Main[[#This Row],[Data]],"ddd")</f>
        <v>ter</v>
      </c>
      <c r="N87" s="15" t="str">
        <f>TEXT(bd_Main[[#This Row],[Data]],"MMM")</f>
        <v>mai</v>
      </c>
      <c r="O87" s="15" t="str">
        <f>TEXT(bd_Main[[#This Row],[Data]],"AAAA")</f>
        <v>2020</v>
      </c>
    </row>
    <row r="88" spans="1:15" x14ac:dyDescent="0.25">
      <c r="A88" s="7">
        <f t="shared" si="1"/>
        <v>87</v>
      </c>
      <c r="B88" s="2">
        <v>43972</v>
      </c>
      <c r="C88" s="3" t="s">
        <v>96</v>
      </c>
      <c r="D88" s="3" t="s">
        <v>74</v>
      </c>
      <c r="E88" s="3" t="s">
        <v>14</v>
      </c>
      <c r="F88" s="3" t="s">
        <v>80</v>
      </c>
      <c r="G88" s="3">
        <v>0</v>
      </c>
      <c r="H88" s="3" t="s">
        <v>32</v>
      </c>
      <c r="I88" s="3" t="s">
        <v>61</v>
      </c>
      <c r="J88" s="3" t="s">
        <v>69</v>
      </c>
      <c r="K88" s="3" t="s">
        <v>22</v>
      </c>
      <c r="L88" s="4">
        <v>0</v>
      </c>
      <c r="M88" s="15" t="str">
        <f>TEXT(bd_Main[[#This Row],[Data]],"ddd")</f>
        <v>qui</v>
      </c>
      <c r="N88" s="15" t="str">
        <f>TEXT(bd_Main[[#This Row],[Data]],"MMM")</f>
        <v>mai</v>
      </c>
      <c r="O88" s="15" t="str">
        <f>TEXT(bd_Main[[#This Row],[Data]],"AAAA")</f>
        <v>2020</v>
      </c>
    </row>
    <row r="89" spans="1:15" x14ac:dyDescent="0.25">
      <c r="A89" s="7">
        <f t="shared" si="1"/>
        <v>88</v>
      </c>
      <c r="B89" s="2">
        <v>43973</v>
      </c>
      <c r="C89" s="3" t="s">
        <v>96</v>
      </c>
      <c r="D89" s="3" t="s">
        <v>74</v>
      </c>
      <c r="E89" s="3" t="s">
        <v>14</v>
      </c>
      <c r="F89" s="3" t="s">
        <v>80</v>
      </c>
      <c r="G89" s="3">
        <v>0</v>
      </c>
      <c r="H89" s="3" t="s">
        <v>21</v>
      </c>
      <c r="I89" s="3" t="s">
        <v>63</v>
      </c>
      <c r="J89" s="3" t="s">
        <v>70</v>
      </c>
      <c r="K89" s="3" t="s">
        <v>31</v>
      </c>
      <c r="L89" s="4">
        <v>305</v>
      </c>
      <c r="M89" s="15" t="str">
        <f>TEXT(bd_Main[[#This Row],[Data]],"ddd")</f>
        <v>sex</v>
      </c>
      <c r="N89" s="15" t="str">
        <f>TEXT(bd_Main[[#This Row],[Data]],"MMM")</f>
        <v>mai</v>
      </c>
      <c r="O89" s="15" t="str">
        <f>TEXT(bd_Main[[#This Row],[Data]],"AAAA")</f>
        <v>2020</v>
      </c>
    </row>
    <row r="90" spans="1:15" x14ac:dyDescent="0.25">
      <c r="A90" s="7">
        <f t="shared" si="1"/>
        <v>89</v>
      </c>
      <c r="B90" s="2">
        <v>43974</v>
      </c>
      <c r="C90" s="3" t="s">
        <v>91</v>
      </c>
      <c r="D90" s="3" t="s">
        <v>74</v>
      </c>
      <c r="E90" s="3" t="s">
        <v>20</v>
      </c>
      <c r="F90" s="3" t="s">
        <v>87</v>
      </c>
      <c r="G90" s="3">
        <v>0</v>
      </c>
      <c r="H90" s="3" t="s">
        <v>30</v>
      </c>
      <c r="I90" s="3" t="s">
        <v>61</v>
      </c>
      <c r="J90" s="3" t="s">
        <v>69</v>
      </c>
      <c r="K90" s="3" t="s">
        <v>19</v>
      </c>
      <c r="L90" s="4">
        <v>0</v>
      </c>
      <c r="M90" s="15" t="str">
        <f>TEXT(bd_Main[[#This Row],[Data]],"ddd")</f>
        <v>sáb</v>
      </c>
      <c r="N90" s="15" t="str">
        <f>TEXT(bd_Main[[#This Row],[Data]],"MMM")</f>
        <v>mai</v>
      </c>
      <c r="O90" s="15" t="str">
        <f>TEXT(bd_Main[[#This Row],[Data]],"AAAA")</f>
        <v>2020</v>
      </c>
    </row>
    <row r="91" spans="1:15" x14ac:dyDescent="0.25">
      <c r="A91" s="7">
        <f t="shared" si="1"/>
        <v>90</v>
      </c>
      <c r="B91" s="2">
        <v>43976</v>
      </c>
      <c r="C91" s="3" t="s">
        <v>94</v>
      </c>
      <c r="D91" s="3" t="s">
        <v>74</v>
      </c>
      <c r="E91" s="3" t="s">
        <v>10</v>
      </c>
      <c r="F91" s="3" t="s">
        <v>86</v>
      </c>
      <c r="G91" s="3">
        <v>0.5</v>
      </c>
      <c r="H91" s="3" t="s">
        <v>25</v>
      </c>
      <c r="I91" s="3" t="s">
        <v>62</v>
      </c>
      <c r="J91" s="3" t="s">
        <v>69</v>
      </c>
      <c r="K91" s="3" t="s">
        <v>23</v>
      </c>
      <c r="L91" s="4">
        <v>2468</v>
      </c>
      <c r="M91" s="15" t="str">
        <f>TEXT(bd_Main[[#This Row],[Data]],"ddd")</f>
        <v>seg</v>
      </c>
      <c r="N91" s="15" t="str">
        <f>TEXT(bd_Main[[#This Row],[Data]],"MMM")</f>
        <v>mai</v>
      </c>
      <c r="O91" s="15" t="str">
        <f>TEXT(bd_Main[[#This Row],[Data]],"AAAA")</f>
        <v>2020</v>
      </c>
    </row>
    <row r="92" spans="1:15" x14ac:dyDescent="0.25">
      <c r="A92" s="7">
        <f t="shared" si="1"/>
        <v>91</v>
      </c>
      <c r="B92" s="2">
        <v>43977</v>
      </c>
      <c r="C92" s="3" t="s">
        <v>95</v>
      </c>
      <c r="D92" s="3" t="s">
        <v>74</v>
      </c>
      <c r="E92" s="3" t="s">
        <v>14</v>
      </c>
      <c r="F92" s="3" t="s">
        <v>79</v>
      </c>
      <c r="G92" s="3">
        <v>0.5</v>
      </c>
      <c r="H92" s="3" t="s">
        <v>24</v>
      </c>
      <c r="I92" s="3" t="s">
        <v>62</v>
      </c>
      <c r="J92" s="3" t="s">
        <v>69</v>
      </c>
      <c r="K92" s="3" t="s">
        <v>28</v>
      </c>
      <c r="L92" s="4">
        <v>786</v>
      </c>
      <c r="M92" s="15" t="str">
        <f>TEXT(bd_Main[[#This Row],[Data]],"ddd")</f>
        <v>ter</v>
      </c>
      <c r="N92" s="15" t="str">
        <f>TEXT(bd_Main[[#This Row],[Data]],"MMM")</f>
        <v>mai</v>
      </c>
      <c r="O92" s="15" t="str">
        <f>TEXT(bd_Main[[#This Row],[Data]],"AAAA")</f>
        <v>2020</v>
      </c>
    </row>
    <row r="93" spans="1:15" x14ac:dyDescent="0.25">
      <c r="A93" s="7">
        <f t="shared" si="1"/>
        <v>92</v>
      </c>
      <c r="B93" s="2">
        <v>43977</v>
      </c>
      <c r="C93" s="3" t="s">
        <v>94</v>
      </c>
      <c r="D93" s="3" t="s">
        <v>74</v>
      </c>
      <c r="E93" s="3" t="s">
        <v>17</v>
      </c>
      <c r="F93" s="3" t="s">
        <v>87</v>
      </c>
      <c r="G93" s="3">
        <v>0</v>
      </c>
      <c r="H93" s="3" t="s">
        <v>15</v>
      </c>
      <c r="I93" s="3" t="s">
        <v>64</v>
      </c>
      <c r="J93" s="3" t="s">
        <v>70</v>
      </c>
      <c r="K93" s="3" t="s">
        <v>19</v>
      </c>
      <c r="L93" s="4">
        <v>2481</v>
      </c>
      <c r="M93" s="15" t="str">
        <f>TEXT(bd_Main[[#This Row],[Data]],"ddd")</f>
        <v>ter</v>
      </c>
      <c r="N93" s="15" t="str">
        <f>TEXT(bd_Main[[#This Row],[Data]],"MMM")</f>
        <v>mai</v>
      </c>
      <c r="O93" s="15" t="str">
        <f>TEXT(bd_Main[[#This Row],[Data]],"AAAA")</f>
        <v>2020</v>
      </c>
    </row>
    <row r="94" spans="1:15" x14ac:dyDescent="0.25">
      <c r="A94" s="7">
        <f t="shared" si="1"/>
        <v>93</v>
      </c>
      <c r="B94" s="2">
        <v>43980</v>
      </c>
      <c r="C94" s="3" t="s">
        <v>95</v>
      </c>
      <c r="D94" s="3" t="s">
        <v>74</v>
      </c>
      <c r="E94" s="3" t="s">
        <v>10</v>
      </c>
      <c r="F94" s="3" t="s">
        <v>79</v>
      </c>
      <c r="G94" s="3">
        <v>0.5</v>
      </c>
      <c r="H94" s="3" t="s">
        <v>24</v>
      </c>
      <c r="I94" s="3" t="s">
        <v>62</v>
      </c>
      <c r="J94" s="3" t="s">
        <v>70</v>
      </c>
      <c r="K94" s="3" t="s">
        <v>27</v>
      </c>
      <c r="L94" s="4">
        <v>674</v>
      </c>
      <c r="M94" s="15" t="str">
        <f>TEXT(bd_Main[[#This Row],[Data]],"ddd")</f>
        <v>sex</v>
      </c>
      <c r="N94" s="15" t="str">
        <f>TEXT(bd_Main[[#This Row],[Data]],"MMM")</f>
        <v>mai</v>
      </c>
      <c r="O94" s="15" t="str">
        <f>TEXT(bd_Main[[#This Row],[Data]],"AAAA")</f>
        <v>2020</v>
      </c>
    </row>
    <row r="95" spans="1:15" x14ac:dyDescent="0.25">
      <c r="A95" s="7">
        <f t="shared" si="1"/>
        <v>94</v>
      </c>
      <c r="B95" s="2">
        <v>43982</v>
      </c>
      <c r="C95" s="3" t="s">
        <v>94</v>
      </c>
      <c r="D95" s="3" t="s">
        <v>74</v>
      </c>
      <c r="E95" s="3" t="s">
        <v>20</v>
      </c>
      <c r="F95" s="3" t="s">
        <v>86</v>
      </c>
      <c r="G95" s="3">
        <v>0</v>
      </c>
      <c r="H95" s="3" t="s">
        <v>15</v>
      </c>
      <c r="I95" s="3" t="s">
        <v>61</v>
      </c>
      <c r="J95" s="3" t="s">
        <v>71</v>
      </c>
      <c r="K95" s="3" t="s">
        <v>23</v>
      </c>
      <c r="L95" s="4">
        <v>0</v>
      </c>
      <c r="M95" s="15" t="str">
        <f>TEXT(bd_Main[[#This Row],[Data]],"ddd")</f>
        <v>dom</v>
      </c>
      <c r="N95" s="15" t="str">
        <f>TEXT(bd_Main[[#This Row],[Data]],"MMM")</f>
        <v>mai</v>
      </c>
      <c r="O95" s="15" t="str">
        <f>TEXT(bd_Main[[#This Row],[Data]],"AAAA")</f>
        <v>2020</v>
      </c>
    </row>
    <row r="96" spans="1:15" x14ac:dyDescent="0.25">
      <c r="A96" s="7">
        <f t="shared" si="1"/>
        <v>95</v>
      </c>
      <c r="B96" s="2">
        <v>43982</v>
      </c>
      <c r="C96" s="3" t="s">
        <v>90</v>
      </c>
      <c r="D96" s="3" t="s">
        <v>74</v>
      </c>
      <c r="E96" s="3" t="s">
        <v>14</v>
      </c>
      <c r="F96" s="3" t="s">
        <v>87</v>
      </c>
      <c r="G96" s="3">
        <v>0</v>
      </c>
      <c r="H96" s="3" t="s">
        <v>15</v>
      </c>
      <c r="I96" s="3" t="s">
        <v>61</v>
      </c>
      <c r="J96" s="3" t="s">
        <v>69</v>
      </c>
      <c r="K96" s="3" t="s">
        <v>27</v>
      </c>
      <c r="L96" s="4">
        <v>0</v>
      </c>
      <c r="M96" s="15" t="str">
        <f>TEXT(bd_Main[[#This Row],[Data]],"ddd")</f>
        <v>dom</v>
      </c>
      <c r="N96" s="15" t="str">
        <f>TEXT(bd_Main[[#This Row],[Data]],"MMM")</f>
        <v>mai</v>
      </c>
      <c r="O96" s="15" t="str">
        <f>TEXT(bd_Main[[#This Row],[Data]],"AAAA")</f>
        <v>2020</v>
      </c>
    </row>
    <row r="97" spans="1:15" x14ac:dyDescent="0.25">
      <c r="A97" s="7">
        <f t="shared" si="1"/>
        <v>96</v>
      </c>
      <c r="B97" s="2">
        <v>43984</v>
      </c>
      <c r="C97" s="3" t="s">
        <v>93</v>
      </c>
      <c r="D97" s="3" t="s">
        <v>74</v>
      </c>
      <c r="E97" s="3" t="s">
        <v>20</v>
      </c>
      <c r="F97" s="3" t="s">
        <v>84</v>
      </c>
      <c r="G97" s="3">
        <v>0</v>
      </c>
      <c r="H97" s="3" t="s">
        <v>18</v>
      </c>
      <c r="I97" s="3" t="s">
        <v>61</v>
      </c>
      <c r="J97" s="3" t="s">
        <v>69</v>
      </c>
      <c r="K97" s="3" t="s">
        <v>27</v>
      </c>
      <c r="L97" s="4">
        <v>0</v>
      </c>
      <c r="M97" s="15" t="str">
        <f>TEXT(bd_Main[[#This Row],[Data]],"ddd")</f>
        <v>ter</v>
      </c>
      <c r="N97" s="15" t="str">
        <f>TEXT(bd_Main[[#This Row],[Data]],"MMM")</f>
        <v>jun</v>
      </c>
      <c r="O97" s="15" t="str">
        <f>TEXT(bd_Main[[#This Row],[Data]],"AAAA")</f>
        <v>2020</v>
      </c>
    </row>
    <row r="98" spans="1:15" x14ac:dyDescent="0.25">
      <c r="A98" s="7">
        <f t="shared" si="1"/>
        <v>97</v>
      </c>
      <c r="B98" s="2">
        <v>43989</v>
      </c>
      <c r="C98" s="3" t="s">
        <v>90</v>
      </c>
      <c r="D98" s="3" t="s">
        <v>74</v>
      </c>
      <c r="E98" s="3" t="s">
        <v>10</v>
      </c>
      <c r="F98" s="3" t="s">
        <v>83</v>
      </c>
      <c r="G98" s="3">
        <v>0</v>
      </c>
      <c r="H98" s="3" t="s">
        <v>18</v>
      </c>
      <c r="I98" s="3" t="s">
        <v>61</v>
      </c>
      <c r="J98" s="3" t="s">
        <v>71</v>
      </c>
      <c r="K98" s="3" t="s">
        <v>27</v>
      </c>
      <c r="L98" s="4">
        <v>0</v>
      </c>
      <c r="M98" s="15" t="str">
        <f>TEXT(bd_Main[[#This Row],[Data]],"ddd")</f>
        <v>dom</v>
      </c>
      <c r="N98" s="15" t="str">
        <f>TEXT(bd_Main[[#This Row],[Data]],"MMM")</f>
        <v>jun</v>
      </c>
      <c r="O98" s="15" t="str">
        <f>TEXT(bd_Main[[#This Row],[Data]],"AAAA")</f>
        <v>2020</v>
      </c>
    </row>
    <row r="99" spans="1:15" x14ac:dyDescent="0.25">
      <c r="A99" s="7">
        <f t="shared" si="1"/>
        <v>98</v>
      </c>
      <c r="B99" s="2">
        <v>43992</v>
      </c>
      <c r="C99" s="3" t="s">
        <v>96</v>
      </c>
      <c r="D99" s="3" t="s">
        <v>74</v>
      </c>
      <c r="E99" s="3" t="s">
        <v>17</v>
      </c>
      <c r="F99" s="3" t="s">
        <v>83</v>
      </c>
      <c r="G99" s="3">
        <v>2.5</v>
      </c>
      <c r="H99" s="3" t="s">
        <v>21</v>
      </c>
      <c r="I99" s="3" t="s">
        <v>62</v>
      </c>
      <c r="J99" s="3" t="s">
        <v>71</v>
      </c>
      <c r="K99" s="3" t="s">
        <v>27</v>
      </c>
      <c r="L99" s="4">
        <v>2370</v>
      </c>
      <c r="M99" s="15" t="str">
        <f>TEXT(bd_Main[[#This Row],[Data]],"ddd")</f>
        <v>qua</v>
      </c>
      <c r="N99" s="15" t="str">
        <f>TEXT(bd_Main[[#This Row],[Data]],"MMM")</f>
        <v>jun</v>
      </c>
      <c r="O99" s="15" t="str">
        <f>TEXT(bd_Main[[#This Row],[Data]],"AAAA")</f>
        <v>2020</v>
      </c>
    </row>
    <row r="100" spans="1:15" x14ac:dyDescent="0.25">
      <c r="A100" s="7">
        <f t="shared" si="1"/>
        <v>99</v>
      </c>
      <c r="B100" s="2">
        <v>43993</v>
      </c>
      <c r="C100" s="3" t="s">
        <v>95</v>
      </c>
      <c r="D100" s="3" t="s">
        <v>74</v>
      </c>
      <c r="E100" s="3" t="s">
        <v>14</v>
      </c>
      <c r="F100" s="3" t="s">
        <v>80</v>
      </c>
      <c r="G100" s="3">
        <v>0</v>
      </c>
      <c r="H100" s="3" t="s">
        <v>24</v>
      </c>
      <c r="I100" s="3" t="s">
        <v>64</v>
      </c>
      <c r="J100" s="3" t="s">
        <v>71</v>
      </c>
      <c r="K100" s="3" t="s">
        <v>23</v>
      </c>
      <c r="L100" s="4">
        <v>1121</v>
      </c>
      <c r="M100" s="15" t="str">
        <f>TEXT(bd_Main[[#This Row],[Data]],"ddd")</f>
        <v>qui</v>
      </c>
      <c r="N100" s="15" t="str">
        <f>TEXT(bd_Main[[#This Row],[Data]],"MMM")</f>
        <v>jun</v>
      </c>
      <c r="O100" s="15" t="str">
        <f>TEXT(bd_Main[[#This Row],[Data]],"AAAA")</f>
        <v>2020</v>
      </c>
    </row>
    <row r="101" spans="1:15" x14ac:dyDescent="0.25">
      <c r="A101" s="7">
        <f t="shared" si="1"/>
        <v>100</v>
      </c>
      <c r="B101" s="2">
        <v>43994</v>
      </c>
      <c r="C101" s="3" t="s">
        <v>94</v>
      </c>
      <c r="D101" s="3" t="s">
        <v>74</v>
      </c>
      <c r="E101" s="3" t="s">
        <v>17</v>
      </c>
      <c r="F101" s="3" t="s">
        <v>84</v>
      </c>
      <c r="G101" s="3">
        <v>0</v>
      </c>
      <c r="H101" s="3" t="s">
        <v>24</v>
      </c>
      <c r="I101" s="3" t="s">
        <v>64</v>
      </c>
      <c r="J101" s="3" t="s">
        <v>70</v>
      </c>
      <c r="K101" s="3" t="s">
        <v>26</v>
      </c>
      <c r="L101" s="4">
        <v>3269</v>
      </c>
      <c r="M101" s="15" t="str">
        <f>TEXT(bd_Main[[#This Row],[Data]],"ddd")</f>
        <v>sex</v>
      </c>
      <c r="N101" s="15" t="str">
        <f>TEXT(bd_Main[[#This Row],[Data]],"MMM")</f>
        <v>jun</v>
      </c>
      <c r="O101" s="15" t="str">
        <f>TEXT(bd_Main[[#This Row],[Data]],"AAAA")</f>
        <v>2020</v>
      </c>
    </row>
    <row r="102" spans="1:15" x14ac:dyDescent="0.25">
      <c r="A102" s="7">
        <f t="shared" si="1"/>
        <v>101</v>
      </c>
      <c r="B102" s="2">
        <v>43997</v>
      </c>
      <c r="C102" s="3" t="s">
        <v>90</v>
      </c>
      <c r="D102" s="3" t="s">
        <v>74</v>
      </c>
      <c r="E102" s="3" t="s">
        <v>17</v>
      </c>
      <c r="F102" s="3" t="s">
        <v>87</v>
      </c>
      <c r="G102" s="3">
        <v>0</v>
      </c>
      <c r="H102" s="3" t="s">
        <v>32</v>
      </c>
      <c r="I102" s="3" t="s">
        <v>63</v>
      </c>
      <c r="J102" s="3" t="s">
        <v>70</v>
      </c>
      <c r="K102" s="3" t="s">
        <v>12</v>
      </c>
      <c r="L102" s="4">
        <v>249</v>
      </c>
      <c r="M102" s="15" t="str">
        <f>TEXT(bd_Main[[#This Row],[Data]],"ddd")</f>
        <v>seg</v>
      </c>
      <c r="N102" s="15" t="str">
        <f>TEXT(bd_Main[[#This Row],[Data]],"MMM")</f>
        <v>jun</v>
      </c>
      <c r="O102" s="15" t="str">
        <f>TEXT(bd_Main[[#This Row],[Data]],"AAAA")</f>
        <v>2020</v>
      </c>
    </row>
    <row r="103" spans="1:15" x14ac:dyDescent="0.25">
      <c r="A103" s="7">
        <f t="shared" si="1"/>
        <v>102</v>
      </c>
      <c r="B103" s="2">
        <v>43997</v>
      </c>
      <c r="C103" s="3" t="s">
        <v>92</v>
      </c>
      <c r="D103" s="3" t="s">
        <v>74</v>
      </c>
      <c r="E103" s="3" t="s">
        <v>17</v>
      </c>
      <c r="F103" s="3" t="s">
        <v>79</v>
      </c>
      <c r="G103" s="3">
        <v>0</v>
      </c>
      <c r="H103" s="3" t="s">
        <v>32</v>
      </c>
      <c r="I103" s="3" t="s">
        <v>63</v>
      </c>
      <c r="J103" s="3" t="s">
        <v>71</v>
      </c>
      <c r="K103" s="3" t="s">
        <v>27</v>
      </c>
      <c r="L103" s="4">
        <v>423</v>
      </c>
      <c r="M103" s="15" t="str">
        <f>TEXT(bd_Main[[#This Row],[Data]],"ddd")</f>
        <v>seg</v>
      </c>
      <c r="N103" s="15" t="str">
        <f>TEXT(bd_Main[[#This Row],[Data]],"MMM")</f>
        <v>jun</v>
      </c>
      <c r="O103" s="15" t="str">
        <f>TEXT(bd_Main[[#This Row],[Data]],"AAAA")</f>
        <v>2020</v>
      </c>
    </row>
    <row r="104" spans="1:15" x14ac:dyDescent="0.25">
      <c r="A104" s="7">
        <f t="shared" si="1"/>
        <v>103</v>
      </c>
      <c r="B104" s="2">
        <v>43998</v>
      </c>
      <c r="C104" s="3" t="s">
        <v>93</v>
      </c>
      <c r="D104" s="3" t="s">
        <v>74</v>
      </c>
      <c r="E104" s="3" t="s">
        <v>17</v>
      </c>
      <c r="F104" s="3" t="s">
        <v>80</v>
      </c>
      <c r="G104" s="3">
        <v>0</v>
      </c>
      <c r="H104" s="3" t="s">
        <v>18</v>
      </c>
      <c r="I104" s="3" t="s">
        <v>64</v>
      </c>
      <c r="J104" s="3" t="s">
        <v>70</v>
      </c>
      <c r="K104" s="3" t="s">
        <v>26</v>
      </c>
      <c r="L104" s="4">
        <v>3397</v>
      </c>
      <c r="M104" s="15" t="str">
        <f>TEXT(bd_Main[[#This Row],[Data]],"ddd")</f>
        <v>ter</v>
      </c>
      <c r="N104" s="15" t="str">
        <f>TEXT(bd_Main[[#This Row],[Data]],"MMM")</f>
        <v>jun</v>
      </c>
      <c r="O104" s="15" t="str">
        <f>TEXT(bd_Main[[#This Row],[Data]],"AAAA")</f>
        <v>2020</v>
      </c>
    </row>
    <row r="105" spans="1:15" x14ac:dyDescent="0.25">
      <c r="A105" s="7">
        <f t="shared" si="1"/>
        <v>104</v>
      </c>
      <c r="B105" s="2">
        <v>44001</v>
      </c>
      <c r="C105" s="3" t="s">
        <v>94</v>
      </c>
      <c r="D105" s="3" t="s">
        <v>75</v>
      </c>
      <c r="E105" s="3" t="s">
        <v>10</v>
      </c>
      <c r="F105" s="3" t="s">
        <v>80</v>
      </c>
      <c r="G105" s="3">
        <v>0</v>
      </c>
      <c r="H105" s="3" t="s">
        <v>24</v>
      </c>
      <c r="I105" s="3" t="s">
        <v>64</v>
      </c>
      <c r="J105" s="3" t="s">
        <v>70</v>
      </c>
      <c r="K105" s="3" t="s">
        <v>16</v>
      </c>
      <c r="L105" s="4">
        <v>4016</v>
      </c>
      <c r="M105" s="15" t="str">
        <f>TEXT(bd_Main[[#This Row],[Data]],"ddd")</f>
        <v>sex</v>
      </c>
      <c r="N105" s="15" t="str">
        <f>TEXT(bd_Main[[#This Row],[Data]],"MMM")</f>
        <v>jun</v>
      </c>
      <c r="O105" s="15" t="str">
        <f>TEXT(bd_Main[[#This Row],[Data]],"AAAA")</f>
        <v>2020</v>
      </c>
    </row>
    <row r="106" spans="1:15" x14ac:dyDescent="0.25">
      <c r="A106" s="7">
        <f t="shared" si="1"/>
        <v>105</v>
      </c>
      <c r="B106" s="2">
        <v>44005</v>
      </c>
      <c r="C106" s="3" t="s">
        <v>95</v>
      </c>
      <c r="D106" s="3" t="s">
        <v>74</v>
      </c>
      <c r="E106" s="3" t="s">
        <v>10</v>
      </c>
      <c r="F106" s="3" t="s">
        <v>84</v>
      </c>
      <c r="G106" s="3">
        <v>0</v>
      </c>
      <c r="H106" s="3" t="s">
        <v>30</v>
      </c>
      <c r="I106" s="3" t="s">
        <v>64</v>
      </c>
      <c r="J106" s="3" t="s">
        <v>69</v>
      </c>
      <c r="K106" s="3" t="s">
        <v>26</v>
      </c>
      <c r="L106" s="4">
        <v>2387</v>
      </c>
      <c r="M106" s="15" t="str">
        <f>TEXT(bd_Main[[#This Row],[Data]],"ddd")</f>
        <v>ter</v>
      </c>
      <c r="N106" s="15" t="str">
        <f>TEXT(bd_Main[[#This Row],[Data]],"MMM")</f>
        <v>jun</v>
      </c>
      <c r="O106" s="15" t="str">
        <f>TEXT(bd_Main[[#This Row],[Data]],"AAAA")</f>
        <v>2020</v>
      </c>
    </row>
    <row r="107" spans="1:15" x14ac:dyDescent="0.25">
      <c r="A107" s="7">
        <f t="shared" si="1"/>
        <v>106</v>
      </c>
      <c r="B107" s="2">
        <v>44008</v>
      </c>
      <c r="C107" s="3" t="s">
        <v>90</v>
      </c>
      <c r="D107" s="3" t="s">
        <v>74</v>
      </c>
      <c r="E107" s="3" t="s">
        <v>20</v>
      </c>
      <c r="F107" s="3" t="s">
        <v>86</v>
      </c>
      <c r="G107" s="3">
        <v>0</v>
      </c>
      <c r="H107" s="3" t="s">
        <v>11</v>
      </c>
      <c r="I107" s="3" t="s">
        <v>61</v>
      </c>
      <c r="J107" s="3" t="s">
        <v>69</v>
      </c>
      <c r="K107" s="3" t="s">
        <v>19</v>
      </c>
      <c r="L107" s="4">
        <v>0</v>
      </c>
      <c r="M107" s="15" t="str">
        <f>TEXT(bd_Main[[#This Row],[Data]],"ddd")</f>
        <v>sex</v>
      </c>
      <c r="N107" s="15" t="str">
        <f>TEXT(bd_Main[[#This Row],[Data]],"MMM")</f>
        <v>jun</v>
      </c>
      <c r="O107" s="15" t="str">
        <f>TEXT(bd_Main[[#This Row],[Data]],"AAAA")</f>
        <v>2020</v>
      </c>
    </row>
    <row r="108" spans="1:15" x14ac:dyDescent="0.25">
      <c r="A108" s="7">
        <f t="shared" si="1"/>
        <v>107</v>
      </c>
      <c r="B108" s="2">
        <v>44009</v>
      </c>
      <c r="C108" s="3" t="s">
        <v>96</v>
      </c>
      <c r="D108" s="3" t="s">
        <v>74</v>
      </c>
      <c r="E108" s="3" t="s">
        <v>14</v>
      </c>
      <c r="F108" s="3" t="s">
        <v>84</v>
      </c>
      <c r="G108" s="3">
        <v>0</v>
      </c>
      <c r="H108" s="3" t="s">
        <v>30</v>
      </c>
      <c r="I108" s="3" t="s">
        <v>64</v>
      </c>
      <c r="J108" s="3" t="s">
        <v>69</v>
      </c>
      <c r="K108" s="3" t="s">
        <v>27</v>
      </c>
      <c r="L108" s="4">
        <v>4292</v>
      </c>
      <c r="M108" s="15" t="str">
        <f>TEXT(bd_Main[[#This Row],[Data]],"ddd")</f>
        <v>sáb</v>
      </c>
      <c r="N108" s="15" t="str">
        <f>TEXT(bd_Main[[#This Row],[Data]],"MMM")</f>
        <v>jun</v>
      </c>
      <c r="O108" s="15" t="str">
        <f>TEXT(bd_Main[[#This Row],[Data]],"AAAA")</f>
        <v>2020</v>
      </c>
    </row>
    <row r="109" spans="1:15" x14ac:dyDescent="0.25">
      <c r="A109" s="7">
        <f t="shared" si="1"/>
        <v>108</v>
      </c>
      <c r="B109" s="2">
        <v>44010</v>
      </c>
      <c r="C109" s="3" t="s">
        <v>93</v>
      </c>
      <c r="D109" s="3" t="s">
        <v>75</v>
      </c>
      <c r="E109" s="3" t="s">
        <v>10</v>
      </c>
      <c r="F109" s="3" t="s">
        <v>83</v>
      </c>
      <c r="G109" s="3">
        <v>2</v>
      </c>
      <c r="H109" s="3" t="s">
        <v>15</v>
      </c>
      <c r="I109" s="3" t="s">
        <v>62</v>
      </c>
      <c r="J109" s="3" t="s">
        <v>70</v>
      </c>
      <c r="K109" s="3" t="s">
        <v>31</v>
      </c>
      <c r="L109" s="4">
        <v>1635</v>
      </c>
      <c r="M109" s="15" t="str">
        <f>TEXT(bd_Main[[#This Row],[Data]],"ddd")</f>
        <v>dom</v>
      </c>
      <c r="N109" s="15" t="str">
        <f>TEXT(bd_Main[[#This Row],[Data]],"MMM")</f>
        <v>jun</v>
      </c>
      <c r="O109" s="15" t="str">
        <f>TEXT(bd_Main[[#This Row],[Data]],"AAAA")</f>
        <v>2020</v>
      </c>
    </row>
    <row r="110" spans="1:15" x14ac:dyDescent="0.25">
      <c r="A110" s="7">
        <f t="shared" si="1"/>
        <v>109</v>
      </c>
      <c r="B110" s="2">
        <v>44012</v>
      </c>
      <c r="C110" s="3" t="s">
        <v>96</v>
      </c>
      <c r="D110" s="3" t="s">
        <v>74</v>
      </c>
      <c r="E110" s="3" t="s">
        <v>17</v>
      </c>
      <c r="F110" s="3" t="s">
        <v>86</v>
      </c>
      <c r="G110" s="3">
        <v>0</v>
      </c>
      <c r="H110" s="3" t="s">
        <v>25</v>
      </c>
      <c r="I110" s="3" t="s">
        <v>61</v>
      </c>
      <c r="J110" s="3" t="s">
        <v>71</v>
      </c>
      <c r="K110" s="3" t="s">
        <v>22</v>
      </c>
      <c r="L110" s="4">
        <v>0</v>
      </c>
      <c r="M110" s="15" t="str">
        <f>TEXT(bd_Main[[#This Row],[Data]],"ddd")</f>
        <v>ter</v>
      </c>
      <c r="N110" s="15" t="str">
        <f>TEXT(bd_Main[[#This Row],[Data]],"MMM")</f>
        <v>jun</v>
      </c>
      <c r="O110" s="15" t="str">
        <f>TEXT(bd_Main[[#This Row],[Data]],"AAAA")</f>
        <v>2020</v>
      </c>
    </row>
    <row r="111" spans="1:15" x14ac:dyDescent="0.25">
      <c r="A111" s="7">
        <f t="shared" si="1"/>
        <v>110</v>
      </c>
      <c r="B111" s="2">
        <v>44012</v>
      </c>
      <c r="C111" s="3" t="s">
        <v>91</v>
      </c>
      <c r="D111" s="3" t="s">
        <v>74</v>
      </c>
      <c r="E111" s="3" t="s">
        <v>17</v>
      </c>
      <c r="F111" s="3" t="s">
        <v>84</v>
      </c>
      <c r="G111" s="3">
        <v>5</v>
      </c>
      <c r="H111" s="3" t="s">
        <v>15</v>
      </c>
      <c r="I111" s="3" t="s">
        <v>62</v>
      </c>
      <c r="J111" s="3" t="s">
        <v>70</v>
      </c>
      <c r="K111" s="3" t="s">
        <v>22</v>
      </c>
      <c r="L111" s="4">
        <v>603</v>
      </c>
      <c r="M111" s="15" t="str">
        <f>TEXT(bd_Main[[#This Row],[Data]],"ddd")</f>
        <v>ter</v>
      </c>
      <c r="N111" s="15" t="str">
        <f>TEXT(bd_Main[[#This Row],[Data]],"MMM")</f>
        <v>jun</v>
      </c>
      <c r="O111" s="15" t="str">
        <f>TEXT(bd_Main[[#This Row],[Data]],"AAAA")</f>
        <v>2020</v>
      </c>
    </row>
    <row r="112" spans="1:15" x14ac:dyDescent="0.25">
      <c r="A112" s="7">
        <f t="shared" si="1"/>
        <v>111</v>
      </c>
      <c r="B112" s="2">
        <v>44013</v>
      </c>
      <c r="C112" s="3" t="s">
        <v>91</v>
      </c>
      <c r="D112" s="3" t="s">
        <v>74</v>
      </c>
      <c r="E112" s="3" t="s">
        <v>20</v>
      </c>
      <c r="F112" s="3" t="s">
        <v>87</v>
      </c>
      <c r="G112" s="3">
        <v>0</v>
      </c>
      <c r="H112" s="3" t="s">
        <v>15</v>
      </c>
      <c r="I112" s="3" t="s">
        <v>64</v>
      </c>
      <c r="J112" s="3" t="s">
        <v>69</v>
      </c>
      <c r="K112" s="3" t="s">
        <v>28</v>
      </c>
      <c r="L112" s="4">
        <v>1335</v>
      </c>
      <c r="M112" s="15" t="str">
        <f>TEXT(bd_Main[[#This Row],[Data]],"ddd")</f>
        <v>qua</v>
      </c>
      <c r="N112" s="15" t="str">
        <f>TEXT(bd_Main[[#This Row],[Data]],"MMM")</f>
        <v>jul</v>
      </c>
      <c r="O112" s="15" t="str">
        <f>TEXT(bd_Main[[#This Row],[Data]],"AAAA")</f>
        <v>2020</v>
      </c>
    </row>
    <row r="113" spans="1:15" x14ac:dyDescent="0.25">
      <c r="A113" s="7">
        <f t="shared" si="1"/>
        <v>112</v>
      </c>
      <c r="B113" s="2">
        <v>44018</v>
      </c>
      <c r="C113" s="3" t="s">
        <v>13</v>
      </c>
      <c r="D113" s="3" t="s">
        <v>75</v>
      </c>
      <c r="E113" s="3" t="s">
        <v>20</v>
      </c>
      <c r="F113" s="3" t="s">
        <v>83</v>
      </c>
      <c r="G113" s="3">
        <v>0</v>
      </c>
      <c r="H113" s="3" t="s">
        <v>21</v>
      </c>
      <c r="I113" s="3" t="s">
        <v>63</v>
      </c>
      <c r="J113" s="3" t="s">
        <v>70</v>
      </c>
      <c r="K113" s="3" t="s">
        <v>31</v>
      </c>
      <c r="L113" s="4">
        <v>250</v>
      </c>
      <c r="M113" s="15" t="str">
        <f>TEXT(bd_Main[[#This Row],[Data]],"ddd")</f>
        <v>seg</v>
      </c>
      <c r="N113" s="15" t="str">
        <f>TEXT(bd_Main[[#This Row],[Data]],"MMM")</f>
        <v>jul</v>
      </c>
      <c r="O113" s="15" t="str">
        <f>TEXT(bd_Main[[#This Row],[Data]],"AAAA")</f>
        <v>2020</v>
      </c>
    </row>
    <row r="114" spans="1:15" x14ac:dyDescent="0.25">
      <c r="A114" s="7">
        <f t="shared" si="1"/>
        <v>113</v>
      </c>
      <c r="B114" s="2">
        <v>44018</v>
      </c>
      <c r="C114" s="3" t="s">
        <v>91</v>
      </c>
      <c r="D114" s="3" t="s">
        <v>74</v>
      </c>
      <c r="E114" s="3" t="s">
        <v>17</v>
      </c>
      <c r="F114" s="3" t="s">
        <v>79</v>
      </c>
      <c r="G114" s="3">
        <v>2</v>
      </c>
      <c r="H114" s="3" t="s">
        <v>32</v>
      </c>
      <c r="I114" s="3" t="s">
        <v>62</v>
      </c>
      <c r="J114" s="3" t="s">
        <v>70</v>
      </c>
      <c r="K114" s="3" t="s">
        <v>22</v>
      </c>
      <c r="L114" s="4">
        <v>3203</v>
      </c>
      <c r="M114" s="15" t="str">
        <f>TEXT(bd_Main[[#This Row],[Data]],"ddd")</f>
        <v>seg</v>
      </c>
      <c r="N114" s="15" t="str">
        <f>TEXT(bd_Main[[#This Row],[Data]],"MMM")</f>
        <v>jul</v>
      </c>
      <c r="O114" s="15" t="str">
        <f>TEXT(bd_Main[[#This Row],[Data]],"AAAA")</f>
        <v>2020</v>
      </c>
    </row>
    <row r="115" spans="1:15" x14ac:dyDescent="0.25">
      <c r="A115" s="7">
        <f t="shared" si="1"/>
        <v>114</v>
      </c>
      <c r="B115" s="2">
        <v>44019</v>
      </c>
      <c r="C115" s="3" t="s">
        <v>96</v>
      </c>
      <c r="D115" s="3" t="s">
        <v>74</v>
      </c>
      <c r="E115" s="3" t="s">
        <v>10</v>
      </c>
      <c r="F115" s="3" t="s">
        <v>84</v>
      </c>
      <c r="G115" s="3">
        <v>0</v>
      </c>
      <c r="H115" s="3" t="s">
        <v>32</v>
      </c>
      <c r="I115" s="3" t="s">
        <v>64</v>
      </c>
      <c r="J115" s="3" t="s">
        <v>70</v>
      </c>
      <c r="K115" s="3" t="s">
        <v>26</v>
      </c>
      <c r="L115" s="4">
        <v>4246</v>
      </c>
      <c r="M115" s="15" t="str">
        <f>TEXT(bd_Main[[#This Row],[Data]],"ddd")</f>
        <v>ter</v>
      </c>
      <c r="N115" s="15" t="str">
        <f>TEXT(bd_Main[[#This Row],[Data]],"MMM")</f>
        <v>jul</v>
      </c>
      <c r="O115" s="15" t="str">
        <f>TEXT(bd_Main[[#This Row],[Data]],"AAAA")</f>
        <v>2020</v>
      </c>
    </row>
    <row r="116" spans="1:15" x14ac:dyDescent="0.25">
      <c r="A116" s="7">
        <f t="shared" si="1"/>
        <v>115</v>
      </c>
      <c r="B116" s="2">
        <v>44022</v>
      </c>
      <c r="C116" s="3" t="s">
        <v>33</v>
      </c>
      <c r="D116" s="3" t="s">
        <v>74</v>
      </c>
      <c r="E116" s="3" t="s">
        <v>10</v>
      </c>
      <c r="F116" s="3" t="s">
        <v>86</v>
      </c>
      <c r="G116" s="3">
        <v>0</v>
      </c>
      <c r="H116" s="3" t="s">
        <v>25</v>
      </c>
      <c r="I116" s="3" t="s">
        <v>64</v>
      </c>
      <c r="J116" s="3" t="s">
        <v>69</v>
      </c>
      <c r="K116" s="3" t="s">
        <v>31</v>
      </c>
      <c r="L116" s="4">
        <v>4229</v>
      </c>
      <c r="M116" s="15" t="str">
        <f>TEXT(bd_Main[[#This Row],[Data]],"ddd")</f>
        <v>sex</v>
      </c>
      <c r="N116" s="15" t="str">
        <f>TEXT(bd_Main[[#This Row],[Data]],"MMM")</f>
        <v>jul</v>
      </c>
      <c r="O116" s="15" t="str">
        <f>TEXT(bd_Main[[#This Row],[Data]],"AAAA")</f>
        <v>2020</v>
      </c>
    </row>
    <row r="117" spans="1:15" x14ac:dyDescent="0.25">
      <c r="A117" s="7">
        <f t="shared" si="1"/>
        <v>116</v>
      </c>
      <c r="B117" s="2">
        <v>44023</v>
      </c>
      <c r="C117" s="3" t="s">
        <v>95</v>
      </c>
      <c r="D117" s="3" t="s">
        <v>74</v>
      </c>
      <c r="E117" s="3" t="s">
        <v>17</v>
      </c>
      <c r="F117" s="3" t="s">
        <v>80</v>
      </c>
      <c r="G117" s="3">
        <v>1</v>
      </c>
      <c r="H117" s="3" t="s">
        <v>15</v>
      </c>
      <c r="I117" s="3" t="s">
        <v>62</v>
      </c>
      <c r="J117" s="3" t="s">
        <v>71</v>
      </c>
      <c r="K117" s="3" t="s">
        <v>19</v>
      </c>
      <c r="L117" s="4">
        <v>3256</v>
      </c>
      <c r="M117" s="15" t="str">
        <f>TEXT(bd_Main[[#This Row],[Data]],"ddd")</f>
        <v>sáb</v>
      </c>
      <c r="N117" s="15" t="str">
        <f>TEXT(bd_Main[[#This Row],[Data]],"MMM")</f>
        <v>jul</v>
      </c>
      <c r="O117" s="15" t="str">
        <f>TEXT(bd_Main[[#This Row],[Data]],"AAAA")</f>
        <v>2020</v>
      </c>
    </row>
    <row r="118" spans="1:15" x14ac:dyDescent="0.25">
      <c r="A118" s="7">
        <f t="shared" si="1"/>
        <v>117</v>
      </c>
      <c r="B118" s="2">
        <v>44024</v>
      </c>
      <c r="C118" s="3" t="s">
        <v>96</v>
      </c>
      <c r="D118" s="3" t="s">
        <v>74</v>
      </c>
      <c r="E118" s="3" t="s">
        <v>10</v>
      </c>
      <c r="F118" s="3" t="s">
        <v>85</v>
      </c>
      <c r="G118" s="3">
        <v>4</v>
      </c>
      <c r="H118" s="3" t="s">
        <v>11</v>
      </c>
      <c r="I118" s="3" t="s">
        <v>62</v>
      </c>
      <c r="J118" s="3" t="s">
        <v>71</v>
      </c>
      <c r="K118" s="3" t="s">
        <v>28</v>
      </c>
      <c r="L118" s="4">
        <v>2861</v>
      </c>
      <c r="M118" s="15" t="str">
        <f>TEXT(bd_Main[[#This Row],[Data]],"ddd")</f>
        <v>dom</v>
      </c>
      <c r="N118" s="15" t="str">
        <f>TEXT(bd_Main[[#This Row],[Data]],"MMM")</f>
        <v>jul</v>
      </c>
      <c r="O118" s="15" t="str">
        <f>TEXT(bd_Main[[#This Row],[Data]],"AAAA")</f>
        <v>2020</v>
      </c>
    </row>
    <row r="119" spans="1:15" x14ac:dyDescent="0.25">
      <c r="A119" s="7">
        <f t="shared" si="1"/>
        <v>118</v>
      </c>
      <c r="B119" s="2">
        <v>44024</v>
      </c>
      <c r="C119" s="3" t="s">
        <v>94</v>
      </c>
      <c r="D119" s="3" t="s">
        <v>74</v>
      </c>
      <c r="E119" s="3" t="s">
        <v>17</v>
      </c>
      <c r="F119" s="3" t="s">
        <v>84</v>
      </c>
      <c r="G119" s="3">
        <v>0</v>
      </c>
      <c r="H119" s="3" t="s">
        <v>30</v>
      </c>
      <c r="I119" s="3" t="s">
        <v>63</v>
      </c>
      <c r="J119" s="3" t="s">
        <v>71</v>
      </c>
      <c r="K119" s="3" t="s">
        <v>31</v>
      </c>
      <c r="L119" s="4">
        <v>118</v>
      </c>
      <c r="M119" s="15" t="str">
        <f>TEXT(bd_Main[[#This Row],[Data]],"ddd")</f>
        <v>dom</v>
      </c>
      <c r="N119" s="15" t="str">
        <f>TEXT(bd_Main[[#This Row],[Data]],"MMM")</f>
        <v>jul</v>
      </c>
      <c r="O119" s="15" t="str">
        <f>TEXT(bd_Main[[#This Row],[Data]],"AAAA")</f>
        <v>2020</v>
      </c>
    </row>
    <row r="120" spans="1:15" x14ac:dyDescent="0.25">
      <c r="A120" s="7">
        <f t="shared" si="1"/>
        <v>119</v>
      </c>
      <c r="B120" s="2">
        <v>44025</v>
      </c>
      <c r="C120" s="3" t="s">
        <v>13</v>
      </c>
      <c r="D120" s="3" t="s">
        <v>74</v>
      </c>
      <c r="E120" s="3" t="s">
        <v>20</v>
      </c>
      <c r="F120" s="3" t="s">
        <v>83</v>
      </c>
      <c r="G120" s="3">
        <v>3.5</v>
      </c>
      <c r="H120" s="3" t="s">
        <v>21</v>
      </c>
      <c r="I120" s="3" t="s">
        <v>62</v>
      </c>
      <c r="J120" s="3" t="s">
        <v>70</v>
      </c>
      <c r="K120" s="3" t="s">
        <v>26</v>
      </c>
      <c r="L120" s="4">
        <v>3716</v>
      </c>
      <c r="M120" s="15" t="str">
        <f>TEXT(bd_Main[[#This Row],[Data]],"ddd")</f>
        <v>seg</v>
      </c>
      <c r="N120" s="15" t="str">
        <f>TEXT(bd_Main[[#This Row],[Data]],"MMM")</f>
        <v>jul</v>
      </c>
      <c r="O120" s="15" t="str">
        <f>TEXT(bd_Main[[#This Row],[Data]],"AAAA")</f>
        <v>2020</v>
      </c>
    </row>
    <row r="121" spans="1:15" x14ac:dyDescent="0.25">
      <c r="A121" s="7">
        <f t="shared" si="1"/>
        <v>120</v>
      </c>
      <c r="B121" s="2">
        <v>44026</v>
      </c>
      <c r="C121" s="3" t="s">
        <v>33</v>
      </c>
      <c r="D121" s="3" t="s">
        <v>74</v>
      </c>
      <c r="E121" s="3" t="s">
        <v>17</v>
      </c>
      <c r="F121" s="3" t="s">
        <v>86</v>
      </c>
      <c r="G121" s="3">
        <v>0</v>
      </c>
      <c r="H121" s="3" t="s">
        <v>30</v>
      </c>
      <c r="I121" s="3" t="s">
        <v>61</v>
      </c>
      <c r="J121" s="3" t="s">
        <v>70</v>
      </c>
      <c r="K121" s="3" t="s">
        <v>28</v>
      </c>
      <c r="L121" s="4">
        <v>0</v>
      </c>
      <c r="M121" s="15" t="str">
        <f>TEXT(bd_Main[[#This Row],[Data]],"ddd")</f>
        <v>ter</v>
      </c>
      <c r="N121" s="15" t="str">
        <f>TEXT(bd_Main[[#This Row],[Data]],"MMM")</f>
        <v>jul</v>
      </c>
      <c r="O121" s="15" t="str">
        <f>TEXT(bd_Main[[#This Row],[Data]],"AAAA")</f>
        <v>2020</v>
      </c>
    </row>
    <row r="122" spans="1:15" x14ac:dyDescent="0.25">
      <c r="A122" s="7">
        <f t="shared" si="1"/>
        <v>121</v>
      </c>
      <c r="B122" s="2">
        <v>44028</v>
      </c>
      <c r="C122" s="3" t="s">
        <v>94</v>
      </c>
      <c r="D122" s="3" t="s">
        <v>74</v>
      </c>
      <c r="E122" s="3" t="s">
        <v>14</v>
      </c>
      <c r="F122" s="3" t="s">
        <v>87</v>
      </c>
      <c r="G122" s="3">
        <v>0</v>
      </c>
      <c r="H122" s="3" t="s">
        <v>15</v>
      </c>
      <c r="I122" s="3" t="s">
        <v>61</v>
      </c>
      <c r="J122" s="3" t="s">
        <v>71</v>
      </c>
      <c r="K122" s="3" t="s">
        <v>26</v>
      </c>
      <c r="L122" s="4">
        <v>0</v>
      </c>
      <c r="M122" s="15" t="str">
        <f>TEXT(bd_Main[[#This Row],[Data]],"ddd")</f>
        <v>qui</v>
      </c>
      <c r="N122" s="15" t="str">
        <f>TEXT(bd_Main[[#This Row],[Data]],"MMM")</f>
        <v>jul</v>
      </c>
      <c r="O122" s="15" t="str">
        <f>TEXT(bd_Main[[#This Row],[Data]],"AAAA")</f>
        <v>2020</v>
      </c>
    </row>
    <row r="123" spans="1:15" x14ac:dyDescent="0.25">
      <c r="A123" s="7">
        <f t="shared" si="1"/>
        <v>122</v>
      </c>
      <c r="B123" s="2">
        <v>44030</v>
      </c>
      <c r="C123" s="3" t="s">
        <v>93</v>
      </c>
      <c r="D123" s="3" t="s">
        <v>74</v>
      </c>
      <c r="E123" s="3" t="s">
        <v>14</v>
      </c>
      <c r="F123" s="3" t="s">
        <v>85</v>
      </c>
      <c r="G123" s="3">
        <v>0</v>
      </c>
      <c r="H123" s="3" t="s">
        <v>11</v>
      </c>
      <c r="I123" s="3" t="s">
        <v>64</v>
      </c>
      <c r="J123" s="3" t="s">
        <v>71</v>
      </c>
      <c r="K123" s="3" t="s">
        <v>26</v>
      </c>
      <c r="L123" s="4">
        <v>532</v>
      </c>
      <c r="M123" s="15" t="str">
        <f>TEXT(bd_Main[[#This Row],[Data]],"ddd")</f>
        <v>sáb</v>
      </c>
      <c r="N123" s="15" t="str">
        <f>TEXT(bd_Main[[#This Row],[Data]],"MMM")</f>
        <v>jul</v>
      </c>
      <c r="O123" s="15" t="str">
        <f>TEXT(bd_Main[[#This Row],[Data]],"AAAA")</f>
        <v>2020</v>
      </c>
    </row>
    <row r="124" spans="1:15" x14ac:dyDescent="0.25">
      <c r="A124" s="7">
        <f t="shared" si="1"/>
        <v>123</v>
      </c>
      <c r="B124" s="2">
        <v>44031</v>
      </c>
      <c r="C124" s="3" t="s">
        <v>96</v>
      </c>
      <c r="D124" s="3" t="s">
        <v>74</v>
      </c>
      <c r="E124" s="3" t="s">
        <v>17</v>
      </c>
      <c r="F124" s="3" t="s">
        <v>83</v>
      </c>
      <c r="G124" s="3">
        <v>0</v>
      </c>
      <c r="H124" s="3" t="s">
        <v>15</v>
      </c>
      <c r="I124" s="3" t="s">
        <v>61</v>
      </c>
      <c r="J124" s="3" t="s">
        <v>71</v>
      </c>
      <c r="K124" s="3" t="s">
        <v>12</v>
      </c>
      <c r="L124" s="4">
        <v>0</v>
      </c>
      <c r="M124" s="15" t="str">
        <f>TEXT(bd_Main[[#This Row],[Data]],"ddd")</f>
        <v>dom</v>
      </c>
      <c r="N124" s="15" t="str">
        <f>TEXT(bd_Main[[#This Row],[Data]],"MMM")</f>
        <v>jul</v>
      </c>
      <c r="O124" s="15" t="str">
        <f>TEXT(bd_Main[[#This Row],[Data]],"AAAA")</f>
        <v>2020</v>
      </c>
    </row>
    <row r="125" spans="1:15" x14ac:dyDescent="0.25">
      <c r="A125" s="7">
        <f t="shared" si="1"/>
        <v>124</v>
      </c>
      <c r="B125" s="2">
        <v>44034</v>
      </c>
      <c r="C125" s="3" t="s">
        <v>96</v>
      </c>
      <c r="D125" s="3" t="s">
        <v>74</v>
      </c>
      <c r="E125" s="3" t="s">
        <v>17</v>
      </c>
      <c r="F125" s="3" t="s">
        <v>87</v>
      </c>
      <c r="G125" s="3">
        <v>0</v>
      </c>
      <c r="H125" s="3" t="s">
        <v>15</v>
      </c>
      <c r="I125" s="3" t="s">
        <v>61</v>
      </c>
      <c r="J125" s="3" t="s">
        <v>70</v>
      </c>
      <c r="K125" s="3" t="s">
        <v>16</v>
      </c>
      <c r="L125" s="4">
        <v>0</v>
      </c>
      <c r="M125" s="15" t="str">
        <f>TEXT(bd_Main[[#This Row],[Data]],"ddd")</f>
        <v>qua</v>
      </c>
      <c r="N125" s="15" t="str">
        <f>TEXT(bd_Main[[#This Row],[Data]],"MMM")</f>
        <v>jul</v>
      </c>
      <c r="O125" s="15" t="str">
        <f>TEXT(bd_Main[[#This Row],[Data]],"AAAA")</f>
        <v>2020</v>
      </c>
    </row>
    <row r="126" spans="1:15" x14ac:dyDescent="0.25">
      <c r="A126" s="7">
        <f t="shared" si="1"/>
        <v>125</v>
      </c>
      <c r="B126" s="2">
        <v>44038</v>
      </c>
      <c r="C126" s="3" t="s">
        <v>13</v>
      </c>
      <c r="D126" s="3" t="s">
        <v>74</v>
      </c>
      <c r="E126" s="3" t="s">
        <v>10</v>
      </c>
      <c r="F126" s="3" t="s">
        <v>83</v>
      </c>
      <c r="G126" s="3">
        <v>5</v>
      </c>
      <c r="H126" s="3" t="s">
        <v>29</v>
      </c>
      <c r="I126" s="3" t="s">
        <v>62</v>
      </c>
      <c r="J126" s="3" t="s">
        <v>71</v>
      </c>
      <c r="K126" s="3" t="s">
        <v>31</v>
      </c>
      <c r="L126" s="4">
        <v>4281</v>
      </c>
      <c r="M126" s="15" t="str">
        <f>TEXT(bd_Main[[#This Row],[Data]],"ddd")</f>
        <v>dom</v>
      </c>
      <c r="N126" s="15" t="str">
        <f>TEXT(bd_Main[[#This Row],[Data]],"MMM")</f>
        <v>jul</v>
      </c>
      <c r="O126" s="15" t="str">
        <f>TEXT(bd_Main[[#This Row],[Data]],"AAAA")</f>
        <v>2020</v>
      </c>
    </row>
    <row r="127" spans="1:15" x14ac:dyDescent="0.25">
      <c r="A127" s="7">
        <f t="shared" si="1"/>
        <v>126</v>
      </c>
      <c r="B127" s="2">
        <v>44039</v>
      </c>
      <c r="C127" s="3" t="s">
        <v>94</v>
      </c>
      <c r="D127" s="3" t="s">
        <v>74</v>
      </c>
      <c r="E127" s="3" t="s">
        <v>10</v>
      </c>
      <c r="F127" s="3" t="s">
        <v>79</v>
      </c>
      <c r="G127" s="3">
        <v>0</v>
      </c>
      <c r="H127" s="3" t="s">
        <v>30</v>
      </c>
      <c r="I127" s="3" t="s">
        <v>64</v>
      </c>
      <c r="J127" s="3" t="s">
        <v>70</v>
      </c>
      <c r="K127" s="3" t="s">
        <v>31</v>
      </c>
      <c r="L127" s="4">
        <v>4455</v>
      </c>
      <c r="M127" s="15" t="str">
        <f>TEXT(bd_Main[[#This Row],[Data]],"ddd")</f>
        <v>seg</v>
      </c>
      <c r="N127" s="15" t="str">
        <f>TEXT(bd_Main[[#This Row],[Data]],"MMM")</f>
        <v>jul</v>
      </c>
      <c r="O127" s="15" t="str">
        <f>TEXT(bd_Main[[#This Row],[Data]],"AAAA")</f>
        <v>2020</v>
      </c>
    </row>
    <row r="128" spans="1:15" x14ac:dyDescent="0.25">
      <c r="A128" s="7">
        <f t="shared" si="1"/>
        <v>127</v>
      </c>
      <c r="B128" s="2">
        <v>44040</v>
      </c>
      <c r="C128" s="3" t="s">
        <v>94</v>
      </c>
      <c r="D128" s="3" t="s">
        <v>74</v>
      </c>
      <c r="E128" s="3" t="s">
        <v>17</v>
      </c>
      <c r="F128" s="3" t="s">
        <v>83</v>
      </c>
      <c r="G128" s="3">
        <v>0</v>
      </c>
      <c r="H128" s="3" t="s">
        <v>24</v>
      </c>
      <c r="I128" s="3" t="s">
        <v>64</v>
      </c>
      <c r="J128" s="3" t="s">
        <v>71</v>
      </c>
      <c r="K128" s="3" t="s">
        <v>23</v>
      </c>
      <c r="L128" s="4">
        <v>4444</v>
      </c>
      <c r="M128" s="15" t="str">
        <f>TEXT(bd_Main[[#This Row],[Data]],"ddd")</f>
        <v>ter</v>
      </c>
      <c r="N128" s="15" t="str">
        <f>TEXT(bd_Main[[#This Row],[Data]],"MMM")</f>
        <v>jul</v>
      </c>
      <c r="O128" s="15" t="str">
        <f>TEXT(bd_Main[[#This Row],[Data]],"AAAA")</f>
        <v>2020</v>
      </c>
    </row>
    <row r="129" spans="1:15" x14ac:dyDescent="0.25">
      <c r="A129" s="7">
        <f t="shared" si="1"/>
        <v>128</v>
      </c>
      <c r="B129" s="2">
        <v>44040</v>
      </c>
      <c r="C129" s="3" t="s">
        <v>13</v>
      </c>
      <c r="D129" s="3" t="s">
        <v>74</v>
      </c>
      <c r="E129" s="3" t="s">
        <v>20</v>
      </c>
      <c r="F129" s="3" t="s">
        <v>83</v>
      </c>
      <c r="G129" s="3">
        <v>2</v>
      </c>
      <c r="H129" s="3" t="s">
        <v>24</v>
      </c>
      <c r="I129" s="3" t="s">
        <v>62</v>
      </c>
      <c r="J129" s="3" t="s">
        <v>71</v>
      </c>
      <c r="K129" s="3" t="s">
        <v>22</v>
      </c>
      <c r="L129" s="4">
        <v>2777</v>
      </c>
      <c r="M129" s="15" t="str">
        <f>TEXT(bd_Main[[#This Row],[Data]],"ddd")</f>
        <v>ter</v>
      </c>
      <c r="N129" s="15" t="str">
        <f>TEXT(bd_Main[[#This Row],[Data]],"MMM")</f>
        <v>jul</v>
      </c>
      <c r="O129" s="15" t="str">
        <f>TEXT(bd_Main[[#This Row],[Data]],"AAAA")</f>
        <v>2020</v>
      </c>
    </row>
    <row r="130" spans="1:15" x14ac:dyDescent="0.25">
      <c r="A130" s="7">
        <f t="shared" ref="A130:A193" si="2">ROW(A130)-1</f>
        <v>129</v>
      </c>
      <c r="B130" s="2">
        <v>44042</v>
      </c>
      <c r="C130" s="3" t="s">
        <v>33</v>
      </c>
      <c r="D130" s="3" t="s">
        <v>74</v>
      </c>
      <c r="E130" s="3" t="s">
        <v>14</v>
      </c>
      <c r="F130" s="3" t="s">
        <v>87</v>
      </c>
      <c r="G130" s="3">
        <v>3</v>
      </c>
      <c r="H130" s="3" t="s">
        <v>32</v>
      </c>
      <c r="I130" s="3" t="s">
        <v>62</v>
      </c>
      <c r="J130" s="3" t="s">
        <v>71</v>
      </c>
      <c r="K130" s="3" t="s">
        <v>27</v>
      </c>
      <c r="L130" s="4">
        <v>4940</v>
      </c>
      <c r="M130" s="15" t="str">
        <f>TEXT(bd_Main[[#This Row],[Data]],"ddd")</f>
        <v>qui</v>
      </c>
      <c r="N130" s="15" t="str">
        <f>TEXT(bd_Main[[#This Row],[Data]],"MMM")</f>
        <v>jul</v>
      </c>
      <c r="O130" s="15" t="str">
        <f>TEXT(bd_Main[[#This Row],[Data]],"AAAA")</f>
        <v>2020</v>
      </c>
    </row>
    <row r="131" spans="1:15" x14ac:dyDescent="0.25">
      <c r="A131" s="7">
        <f t="shared" si="2"/>
        <v>130</v>
      </c>
      <c r="B131" s="2">
        <v>44042</v>
      </c>
      <c r="C131" s="3" t="s">
        <v>13</v>
      </c>
      <c r="D131" s="3" t="s">
        <v>75</v>
      </c>
      <c r="E131" s="3" t="s">
        <v>14</v>
      </c>
      <c r="F131" s="3" t="s">
        <v>80</v>
      </c>
      <c r="G131" s="3">
        <v>0</v>
      </c>
      <c r="H131" s="3" t="s">
        <v>21</v>
      </c>
      <c r="I131" s="3" t="s">
        <v>61</v>
      </c>
      <c r="J131" s="3" t="s">
        <v>71</v>
      </c>
      <c r="K131" s="3" t="s">
        <v>27</v>
      </c>
      <c r="L131" s="4">
        <v>0</v>
      </c>
      <c r="M131" s="15" t="str">
        <f>TEXT(bd_Main[[#This Row],[Data]],"ddd")</f>
        <v>qui</v>
      </c>
      <c r="N131" s="15" t="str">
        <f>TEXT(bd_Main[[#This Row],[Data]],"MMM")</f>
        <v>jul</v>
      </c>
      <c r="O131" s="15" t="str">
        <f>TEXT(bd_Main[[#This Row],[Data]],"AAAA")</f>
        <v>2020</v>
      </c>
    </row>
    <row r="132" spans="1:15" x14ac:dyDescent="0.25">
      <c r="A132" s="7">
        <f t="shared" si="2"/>
        <v>131</v>
      </c>
      <c r="B132" s="2">
        <v>44044</v>
      </c>
      <c r="C132" s="3" t="s">
        <v>91</v>
      </c>
      <c r="D132" s="3" t="s">
        <v>74</v>
      </c>
      <c r="E132" s="3" t="s">
        <v>10</v>
      </c>
      <c r="F132" s="3" t="s">
        <v>86</v>
      </c>
      <c r="G132" s="3">
        <v>0</v>
      </c>
      <c r="H132" s="3" t="s">
        <v>25</v>
      </c>
      <c r="I132" s="3" t="s">
        <v>61</v>
      </c>
      <c r="J132" s="3" t="s">
        <v>69</v>
      </c>
      <c r="K132" s="3" t="s">
        <v>19</v>
      </c>
      <c r="L132" s="4">
        <v>0</v>
      </c>
      <c r="M132" s="15" t="str">
        <f>TEXT(bd_Main[[#This Row],[Data]],"ddd")</f>
        <v>sáb</v>
      </c>
      <c r="N132" s="15" t="str">
        <f>TEXT(bd_Main[[#This Row],[Data]],"MMM")</f>
        <v>ago</v>
      </c>
      <c r="O132" s="15" t="str">
        <f>TEXT(bd_Main[[#This Row],[Data]],"AAAA")</f>
        <v>2020</v>
      </c>
    </row>
    <row r="133" spans="1:15" x14ac:dyDescent="0.25">
      <c r="A133" s="7">
        <f t="shared" si="2"/>
        <v>132</v>
      </c>
      <c r="B133" s="2">
        <v>44046</v>
      </c>
      <c r="C133" s="3" t="s">
        <v>92</v>
      </c>
      <c r="D133" s="3" t="s">
        <v>74</v>
      </c>
      <c r="E133" s="3" t="s">
        <v>14</v>
      </c>
      <c r="F133" s="3" t="s">
        <v>84</v>
      </c>
      <c r="G133" s="3">
        <v>0</v>
      </c>
      <c r="H133" s="3" t="s">
        <v>32</v>
      </c>
      <c r="I133" s="3" t="s">
        <v>64</v>
      </c>
      <c r="J133" s="3" t="s">
        <v>70</v>
      </c>
      <c r="K133" s="3" t="s">
        <v>12</v>
      </c>
      <c r="L133" s="4">
        <v>2521</v>
      </c>
      <c r="M133" s="15" t="str">
        <f>TEXT(bd_Main[[#This Row],[Data]],"ddd")</f>
        <v>seg</v>
      </c>
      <c r="N133" s="15" t="str">
        <f>TEXT(bd_Main[[#This Row],[Data]],"MMM")</f>
        <v>ago</v>
      </c>
      <c r="O133" s="15" t="str">
        <f>TEXT(bd_Main[[#This Row],[Data]],"AAAA")</f>
        <v>2020</v>
      </c>
    </row>
    <row r="134" spans="1:15" x14ac:dyDescent="0.25">
      <c r="A134" s="7">
        <f t="shared" si="2"/>
        <v>133</v>
      </c>
      <c r="B134" s="2">
        <v>44047</v>
      </c>
      <c r="C134" s="3" t="s">
        <v>96</v>
      </c>
      <c r="D134" s="3" t="s">
        <v>74</v>
      </c>
      <c r="E134" s="3" t="s">
        <v>14</v>
      </c>
      <c r="F134" s="3" t="s">
        <v>80</v>
      </c>
      <c r="G134" s="3">
        <v>0</v>
      </c>
      <c r="H134" s="3" t="s">
        <v>18</v>
      </c>
      <c r="I134" s="3" t="s">
        <v>64</v>
      </c>
      <c r="J134" s="3" t="s">
        <v>70</v>
      </c>
      <c r="K134" s="3" t="s">
        <v>26</v>
      </c>
      <c r="L134" s="4">
        <v>1430</v>
      </c>
      <c r="M134" s="15" t="str">
        <f>TEXT(bd_Main[[#This Row],[Data]],"ddd")</f>
        <v>ter</v>
      </c>
      <c r="N134" s="15" t="str">
        <f>TEXT(bd_Main[[#This Row],[Data]],"MMM")</f>
        <v>ago</v>
      </c>
      <c r="O134" s="15" t="str">
        <f>TEXT(bd_Main[[#This Row],[Data]],"AAAA")</f>
        <v>2020</v>
      </c>
    </row>
    <row r="135" spans="1:15" x14ac:dyDescent="0.25">
      <c r="A135" s="7">
        <f t="shared" si="2"/>
        <v>134</v>
      </c>
      <c r="B135" s="2">
        <v>44050</v>
      </c>
      <c r="C135" s="3" t="s">
        <v>96</v>
      </c>
      <c r="D135" s="3" t="s">
        <v>74</v>
      </c>
      <c r="E135" s="3" t="s">
        <v>14</v>
      </c>
      <c r="F135" s="3" t="s">
        <v>83</v>
      </c>
      <c r="G135" s="3">
        <v>5</v>
      </c>
      <c r="H135" s="3" t="s">
        <v>11</v>
      </c>
      <c r="I135" s="3" t="s">
        <v>62</v>
      </c>
      <c r="J135" s="3" t="s">
        <v>69</v>
      </c>
      <c r="K135" s="3" t="s">
        <v>16</v>
      </c>
      <c r="L135" s="4">
        <v>1505</v>
      </c>
      <c r="M135" s="15" t="str">
        <f>TEXT(bd_Main[[#This Row],[Data]],"ddd")</f>
        <v>sex</v>
      </c>
      <c r="N135" s="15" t="str">
        <f>TEXT(bd_Main[[#This Row],[Data]],"MMM")</f>
        <v>ago</v>
      </c>
      <c r="O135" s="15" t="str">
        <f>TEXT(bd_Main[[#This Row],[Data]],"AAAA")</f>
        <v>2020</v>
      </c>
    </row>
    <row r="136" spans="1:15" x14ac:dyDescent="0.25">
      <c r="A136" s="7">
        <f t="shared" si="2"/>
        <v>135</v>
      </c>
      <c r="B136" s="2">
        <v>44052</v>
      </c>
      <c r="C136" s="3" t="s">
        <v>93</v>
      </c>
      <c r="D136" s="3" t="s">
        <v>74</v>
      </c>
      <c r="E136" s="3" t="s">
        <v>14</v>
      </c>
      <c r="F136" s="3" t="s">
        <v>79</v>
      </c>
      <c r="G136" s="3">
        <v>0</v>
      </c>
      <c r="H136" s="3" t="s">
        <v>15</v>
      </c>
      <c r="I136" s="3" t="s">
        <v>64</v>
      </c>
      <c r="J136" s="3" t="s">
        <v>71</v>
      </c>
      <c r="K136" s="3" t="s">
        <v>26</v>
      </c>
      <c r="L136" s="4">
        <v>921</v>
      </c>
      <c r="M136" s="15" t="str">
        <f>TEXT(bd_Main[[#This Row],[Data]],"ddd")</f>
        <v>dom</v>
      </c>
      <c r="N136" s="15" t="str">
        <f>TEXT(bd_Main[[#This Row],[Data]],"MMM")</f>
        <v>ago</v>
      </c>
      <c r="O136" s="15" t="str">
        <f>TEXT(bd_Main[[#This Row],[Data]],"AAAA")</f>
        <v>2020</v>
      </c>
    </row>
    <row r="137" spans="1:15" x14ac:dyDescent="0.25">
      <c r="A137" s="7">
        <f t="shared" si="2"/>
        <v>136</v>
      </c>
      <c r="B137" s="2">
        <v>44052</v>
      </c>
      <c r="C137" s="3" t="s">
        <v>90</v>
      </c>
      <c r="D137" s="3" t="s">
        <v>74</v>
      </c>
      <c r="E137" s="3" t="s">
        <v>10</v>
      </c>
      <c r="F137" s="3" t="s">
        <v>83</v>
      </c>
      <c r="G137" s="3">
        <v>0</v>
      </c>
      <c r="H137" s="3" t="s">
        <v>18</v>
      </c>
      <c r="I137" s="3" t="s">
        <v>63</v>
      </c>
      <c r="J137" s="3" t="s">
        <v>69</v>
      </c>
      <c r="K137" s="3" t="s">
        <v>19</v>
      </c>
      <c r="L137" s="4">
        <v>206</v>
      </c>
      <c r="M137" s="15" t="str">
        <f>TEXT(bd_Main[[#This Row],[Data]],"ddd")</f>
        <v>dom</v>
      </c>
      <c r="N137" s="15" t="str">
        <f>TEXT(bd_Main[[#This Row],[Data]],"MMM")</f>
        <v>ago</v>
      </c>
      <c r="O137" s="15" t="str">
        <f>TEXT(bd_Main[[#This Row],[Data]],"AAAA")</f>
        <v>2020</v>
      </c>
    </row>
    <row r="138" spans="1:15" x14ac:dyDescent="0.25">
      <c r="A138" s="7">
        <f t="shared" si="2"/>
        <v>137</v>
      </c>
      <c r="B138" s="2">
        <v>44053</v>
      </c>
      <c r="C138" s="3" t="s">
        <v>96</v>
      </c>
      <c r="D138" s="3" t="s">
        <v>75</v>
      </c>
      <c r="E138" s="3" t="s">
        <v>10</v>
      </c>
      <c r="F138" s="3" t="s">
        <v>84</v>
      </c>
      <c r="G138" s="3">
        <v>0</v>
      </c>
      <c r="H138" s="3" t="s">
        <v>29</v>
      </c>
      <c r="I138" s="3" t="s">
        <v>61</v>
      </c>
      <c r="J138" s="3" t="s">
        <v>70</v>
      </c>
      <c r="K138" s="3" t="s">
        <v>31</v>
      </c>
      <c r="L138" s="4">
        <v>0</v>
      </c>
      <c r="M138" s="15" t="str">
        <f>TEXT(bd_Main[[#This Row],[Data]],"ddd")</f>
        <v>seg</v>
      </c>
      <c r="N138" s="15" t="str">
        <f>TEXT(bd_Main[[#This Row],[Data]],"MMM")</f>
        <v>ago</v>
      </c>
      <c r="O138" s="15" t="str">
        <f>TEXT(bd_Main[[#This Row],[Data]],"AAAA")</f>
        <v>2020</v>
      </c>
    </row>
    <row r="139" spans="1:15" x14ac:dyDescent="0.25">
      <c r="A139" s="7">
        <f t="shared" si="2"/>
        <v>138</v>
      </c>
      <c r="B139" s="2">
        <v>44054</v>
      </c>
      <c r="C139" s="3" t="s">
        <v>90</v>
      </c>
      <c r="D139" s="3" t="s">
        <v>74</v>
      </c>
      <c r="E139" s="3" t="s">
        <v>20</v>
      </c>
      <c r="F139" s="3" t="s">
        <v>82</v>
      </c>
      <c r="G139" s="3">
        <v>0</v>
      </c>
      <c r="H139" s="3" t="s">
        <v>25</v>
      </c>
      <c r="I139" s="3" t="s">
        <v>61</v>
      </c>
      <c r="J139" s="3" t="s">
        <v>69</v>
      </c>
      <c r="K139" s="3" t="s">
        <v>28</v>
      </c>
      <c r="L139" s="4">
        <v>0</v>
      </c>
      <c r="M139" s="15" t="str">
        <f>TEXT(bd_Main[[#This Row],[Data]],"ddd")</f>
        <v>ter</v>
      </c>
      <c r="N139" s="15" t="str">
        <f>TEXT(bd_Main[[#This Row],[Data]],"MMM")</f>
        <v>ago</v>
      </c>
      <c r="O139" s="15" t="str">
        <f>TEXT(bd_Main[[#This Row],[Data]],"AAAA")</f>
        <v>2020</v>
      </c>
    </row>
    <row r="140" spans="1:15" x14ac:dyDescent="0.25">
      <c r="A140" s="7">
        <f t="shared" si="2"/>
        <v>139</v>
      </c>
      <c r="B140" s="2">
        <v>44055</v>
      </c>
      <c r="C140" s="3" t="s">
        <v>95</v>
      </c>
      <c r="D140" s="3" t="s">
        <v>74</v>
      </c>
      <c r="E140" s="3" t="s">
        <v>20</v>
      </c>
      <c r="F140" s="3" t="s">
        <v>79</v>
      </c>
      <c r="G140" s="3">
        <v>0</v>
      </c>
      <c r="H140" s="3" t="s">
        <v>24</v>
      </c>
      <c r="I140" s="3" t="s">
        <v>64</v>
      </c>
      <c r="J140" s="3" t="s">
        <v>69</v>
      </c>
      <c r="K140" s="3" t="s">
        <v>16</v>
      </c>
      <c r="L140" s="4">
        <v>1835</v>
      </c>
      <c r="M140" s="15" t="str">
        <f>TEXT(bd_Main[[#This Row],[Data]],"ddd")</f>
        <v>qua</v>
      </c>
      <c r="N140" s="15" t="str">
        <f>TEXT(bd_Main[[#This Row],[Data]],"MMM")</f>
        <v>ago</v>
      </c>
      <c r="O140" s="15" t="str">
        <f>TEXT(bd_Main[[#This Row],[Data]],"AAAA")</f>
        <v>2020</v>
      </c>
    </row>
    <row r="141" spans="1:15" x14ac:dyDescent="0.25">
      <c r="A141" s="7">
        <f t="shared" si="2"/>
        <v>140</v>
      </c>
      <c r="B141" s="2">
        <v>44056</v>
      </c>
      <c r="C141" s="3" t="s">
        <v>93</v>
      </c>
      <c r="D141" s="3" t="s">
        <v>74</v>
      </c>
      <c r="E141" s="3" t="s">
        <v>14</v>
      </c>
      <c r="F141" s="3" t="s">
        <v>84</v>
      </c>
      <c r="G141" s="3">
        <v>1</v>
      </c>
      <c r="H141" s="3" t="s">
        <v>24</v>
      </c>
      <c r="I141" s="3" t="s">
        <v>62</v>
      </c>
      <c r="J141" s="3" t="s">
        <v>69</v>
      </c>
      <c r="K141" s="3" t="s">
        <v>19</v>
      </c>
      <c r="L141" s="4">
        <v>2333</v>
      </c>
      <c r="M141" s="15" t="str">
        <f>TEXT(bd_Main[[#This Row],[Data]],"ddd")</f>
        <v>qui</v>
      </c>
      <c r="N141" s="15" t="str">
        <f>TEXT(bd_Main[[#This Row],[Data]],"MMM")</f>
        <v>ago</v>
      </c>
      <c r="O141" s="15" t="str">
        <f>TEXT(bd_Main[[#This Row],[Data]],"AAAA")</f>
        <v>2020</v>
      </c>
    </row>
    <row r="142" spans="1:15" x14ac:dyDescent="0.25">
      <c r="A142" s="7">
        <f t="shared" si="2"/>
        <v>141</v>
      </c>
      <c r="B142" s="2">
        <v>44056</v>
      </c>
      <c r="C142" s="3" t="s">
        <v>96</v>
      </c>
      <c r="D142" s="3" t="s">
        <v>75</v>
      </c>
      <c r="E142" s="3" t="s">
        <v>14</v>
      </c>
      <c r="F142" s="3" t="s">
        <v>85</v>
      </c>
      <c r="G142" s="3">
        <v>0</v>
      </c>
      <c r="H142" s="3" t="s">
        <v>30</v>
      </c>
      <c r="I142" s="3" t="s">
        <v>61</v>
      </c>
      <c r="J142" s="3" t="s">
        <v>69</v>
      </c>
      <c r="K142" s="3" t="s">
        <v>26</v>
      </c>
      <c r="L142" s="4">
        <v>0</v>
      </c>
      <c r="M142" s="15" t="str">
        <f>TEXT(bd_Main[[#This Row],[Data]],"ddd")</f>
        <v>qui</v>
      </c>
      <c r="N142" s="15" t="str">
        <f>TEXT(bd_Main[[#This Row],[Data]],"MMM")</f>
        <v>ago</v>
      </c>
      <c r="O142" s="15" t="str">
        <f>TEXT(bd_Main[[#This Row],[Data]],"AAAA")</f>
        <v>2020</v>
      </c>
    </row>
    <row r="143" spans="1:15" x14ac:dyDescent="0.25">
      <c r="A143" s="7">
        <f t="shared" si="2"/>
        <v>142</v>
      </c>
      <c r="B143" s="2">
        <v>44056</v>
      </c>
      <c r="C143" s="3" t="s">
        <v>95</v>
      </c>
      <c r="D143" s="3" t="s">
        <v>74</v>
      </c>
      <c r="E143" s="3" t="s">
        <v>14</v>
      </c>
      <c r="F143" s="3" t="s">
        <v>81</v>
      </c>
      <c r="G143" s="3">
        <v>0</v>
      </c>
      <c r="H143" s="3" t="s">
        <v>18</v>
      </c>
      <c r="I143" s="3" t="s">
        <v>64</v>
      </c>
      <c r="J143" s="3" t="s">
        <v>69</v>
      </c>
      <c r="K143" s="3" t="s">
        <v>16</v>
      </c>
      <c r="L143" s="4">
        <v>1890</v>
      </c>
      <c r="M143" s="15" t="str">
        <f>TEXT(bd_Main[[#This Row],[Data]],"ddd")</f>
        <v>qui</v>
      </c>
      <c r="N143" s="15" t="str">
        <f>TEXT(bd_Main[[#This Row],[Data]],"MMM")</f>
        <v>ago</v>
      </c>
      <c r="O143" s="15" t="str">
        <f>TEXT(bd_Main[[#This Row],[Data]],"AAAA")</f>
        <v>2020</v>
      </c>
    </row>
    <row r="144" spans="1:15" x14ac:dyDescent="0.25">
      <c r="A144" s="7">
        <f t="shared" si="2"/>
        <v>143</v>
      </c>
      <c r="B144" s="2">
        <v>44058</v>
      </c>
      <c r="C144" s="3" t="s">
        <v>96</v>
      </c>
      <c r="D144" s="3" t="s">
        <v>74</v>
      </c>
      <c r="E144" s="3" t="s">
        <v>14</v>
      </c>
      <c r="F144" s="3" t="s">
        <v>87</v>
      </c>
      <c r="G144" s="3">
        <v>0</v>
      </c>
      <c r="H144" s="3" t="s">
        <v>18</v>
      </c>
      <c r="I144" s="3" t="s">
        <v>64</v>
      </c>
      <c r="J144" s="3" t="s">
        <v>71</v>
      </c>
      <c r="K144" s="3" t="s">
        <v>22</v>
      </c>
      <c r="L144" s="4">
        <v>1951</v>
      </c>
      <c r="M144" s="15" t="str">
        <f>TEXT(bd_Main[[#This Row],[Data]],"ddd")</f>
        <v>sáb</v>
      </c>
      <c r="N144" s="15" t="str">
        <f>TEXT(bd_Main[[#This Row],[Data]],"MMM")</f>
        <v>ago</v>
      </c>
      <c r="O144" s="15" t="str">
        <f>TEXT(bd_Main[[#This Row],[Data]],"AAAA")</f>
        <v>2020</v>
      </c>
    </row>
    <row r="145" spans="1:15" x14ac:dyDescent="0.25">
      <c r="A145" s="7">
        <f t="shared" si="2"/>
        <v>144</v>
      </c>
      <c r="B145" s="2">
        <v>44064</v>
      </c>
      <c r="C145" s="3" t="s">
        <v>95</v>
      </c>
      <c r="D145" s="3" t="s">
        <v>74</v>
      </c>
      <c r="E145" s="3" t="s">
        <v>14</v>
      </c>
      <c r="F145" s="3" t="s">
        <v>80</v>
      </c>
      <c r="G145" s="3">
        <v>5</v>
      </c>
      <c r="H145" s="3" t="s">
        <v>30</v>
      </c>
      <c r="I145" s="3" t="s">
        <v>62</v>
      </c>
      <c r="J145" s="3" t="s">
        <v>71</v>
      </c>
      <c r="K145" s="3" t="s">
        <v>19</v>
      </c>
      <c r="L145" s="4">
        <v>3692</v>
      </c>
      <c r="M145" s="15" t="str">
        <f>TEXT(bd_Main[[#This Row],[Data]],"ddd")</f>
        <v>sex</v>
      </c>
      <c r="N145" s="15" t="str">
        <f>TEXT(bd_Main[[#This Row],[Data]],"MMM")</f>
        <v>ago</v>
      </c>
      <c r="O145" s="15" t="str">
        <f>TEXT(bd_Main[[#This Row],[Data]],"AAAA")</f>
        <v>2020</v>
      </c>
    </row>
    <row r="146" spans="1:15" x14ac:dyDescent="0.25">
      <c r="A146" s="7">
        <f t="shared" si="2"/>
        <v>145</v>
      </c>
      <c r="B146" s="2">
        <v>44064</v>
      </c>
      <c r="C146" s="3" t="s">
        <v>96</v>
      </c>
      <c r="D146" s="3" t="s">
        <v>74</v>
      </c>
      <c r="E146" s="3" t="s">
        <v>20</v>
      </c>
      <c r="F146" s="3" t="s">
        <v>84</v>
      </c>
      <c r="G146" s="3">
        <v>0</v>
      </c>
      <c r="H146" s="3" t="s">
        <v>11</v>
      </c>
      <c r="I146" s="3" t="s">
        <v>63</v>
      </c>
      <c r="J146" s="3" t="s">
        <v>71</v>
      </c>
      <c r="K146" s="3" t="s">
        <v>19</v>
      </c>
      <c r="L146" s="4">
        <v>242</v>
      </c>
      <c r="M146" s="15" t="str">
        <f>TEXT(bd_Main[[#This Row],[Data]],"ddd")</f>
        <v>sex</v>
      </c>
      <c r="N146" s="15" t="str">
        <f>TEXT(bd_Main[[#This Row],[Data]],"MMM")</f>
        <v>ago</v>
      </c>
      <c r="O146" s="15" t="str">
        <f>TEXT(bd_Main[[#This Row],[Data]],"AAAA")</f>
        <v>2020</v>
      </c>
    </row>
    <row r="147" spans="1:15" x14ac:dyDescent="0.25">
      <c r="A147" s="7">
        <f t="shared" si="2"/>
        <v>146</v>
      </c>
      <c r="B147" s="2">
        <v>44066</v>
      </c>
      <c r="C147" s="3" t="s">
        <v>95</v>
      </c>
      <c r="D147" s="3" t="s">
        <v>75</v>
      </c>
      <c r="E147" s="3" t="s">
        <v>14</v>
      </c>
      <c r="F147" s="3" t="s">
        <v>85</v>
      </c>
      <c r="G147" s="3">
        <v>0</v>
      </c>
      <c r="H147" s="3" t="s">
        <v>32</v>
      </c>
      <c r="I147" s="3" t="s">
        <v>61</v>
      </c>
      <c r="J147" s="3" t="s">
        <v>71</v>
      </c>
      <c r="K147" s="3" t="s">
        <v>12</v>
      </c>
      <c r="L147" s="4">
        <v>0</v>
      </c>
      <c r="M147" s="15" t="str">
        <f>TEXT(bd_Main[[#This Row],[Data]],"ddd")</f>
        <v>dom</v>
      </c>
      <c r="N147" s="15" t="str">
        <f>TEXT(bd_Main[[#This Row],[Data]],"MMM")</f>
        <v>ago</v>
      </c>
      <c r="O147" s="15" t="str">
        <f>TEXT(bd_Main[[#This Row],[Data]],"AAAA")</f>
        <v>2020</v>
      </c>
    </row>
    <row r="148" spans="1:15" x14ac:dyDescent="0.25">
      <c r="A148" s="7">
        <f t="shared" si="2"/>
        <v>147</v>
      </c>
      <c r="B148" s="2">
        <v>44068</v>
      </c>
      <c r="C148" s="3" t="s">
        <v>90</v>
      </c>
      <c r="D148" s="3" t="s">
        <v>74</v>
      </c>
      <c r="E148" s="3" t="s">
        <v>10</v>
      </c>
      <c r="F148" s="3" t="s">
        <v>84</v>
      </c>
      <c r="G148" s="3">
        <v>0</v>
      </c>
      <c r="H148" s="3" t="s">
        <v>30</v>
      </c>
      <c r="I148" s="3" t="s">
        <v>61</v>
      </c>
      <c r="J148" s="3" t="s">
        <v>70</v>
      </c>
      <c r="K148" s="3" t="s">
        <v>19</v>
      </c>
      <c r="L148" s="4">
        <v>0</v>
      </c>
      <c r="M148" s="15" t="str">
        <f>TEXT(bd_Main[[#This Row],[Data]],"ddd")</f>
        <v>ter</v>
      </c>
      <c r="N148" s="15" t="str">
        <f>TEXT(bd_Main[[#This Row],[Data]],"MMM")</f>
        <v>ago</v>
      </c>
      <c r="O148" s="15" t="str">
        <f>TEXT(bd_Main[[#This Row],[Data]],"AAAA")</f>
        <v>2020</v>
      </c>
    </row>
    <row r="149" spans="1:15" x14ac:dyDescent="0.25">
      <c r="A149" s="7">
        <f t="shared" si="2"/>
        <v>148</v>
      </c>
      <c r="B149" s="2">
        <v>44069</v>
      </c>
      <c r="C149" s="3" t="s">
        <v>33</v>
      </c>
      <c r="D149" s="3" t="s">
        <v>74</v>
      </c>
      <c r="E149" s="3" t="s">
        <v>14</v>
      </c>
      <c r="F149" s="3" t="s">
        <v>84</v>
      </c>
      <c r="G149" s="3">
        <v>0</v>
      </c>
      <c r="H149" s="3" t="s">
        <v>25</v>
      </c>
      <c r="I149" s="3" t="s">
        <v>64</v>
      </c>
      <c r="J149" s="3" t="s">
        <v>70</v>
      </c>
      <c r="K149" s="3" t="s">
        <v>27</v>
      </c>
      <c r="L149" s="4">
        <v>845</v>
      </c>
      <c r="M149" s="15" t="str">
        <f>TEXT(bd_Main[[#This Row],[Data]],"ddd")</f>
        <v>qua</v>
      </c>
      <c r="N149" s="15" t="str">
        <f>TEXT(bd_Main[[#This Row],[Data]],"MMM")</f>
        <v>ago</v>
      </c>
      <c r="O149" s="15" t="str">
        <f>TEXT(bd_Main[[#This Row],[Data]],"AAAA")</f>
        <v>2020</v>
      </c>
    </row>
    <row r="150" spans="1:15" x14ac:dyDescent="0.25">
      <c r="A150" s="7">
        <f t="shared" si="2"/>
        <v>149</v>
      </c>
      <c r="B150" s="2">
        <v>44070</v>
      </c>
      <c r="C150" s="3" t="s">
        <v>94</v>
      </c>
      <c r="D150" s="3" t="s">
        <v>74</v>
      </c>
      <c r="E150" s="3" t="s">
        <v>17</v>
      </c>
      <c r="F150" s="3" t="s">
        <v>81</v>
      </c>
      <c r="G150" s="3">
        <v>0</v>
      </c>
      <c r="H150" s="3" t="s">
        <v>32</v>
      </c>
      <c r="I150" s="3" t="s">
        <v>63</v>
      </c>
      <c r="J150" s="3" t="s">
        <v>70</v>
      </c>
      <c r="K150" s="3" t="s">
        <v>19</v>
      </c>
      <c r="L150" s="4">
        <v>395</v>
      </c>
      <c r="M150" s="15" t="str">
        <f>TEXT(bd_Main[[#This Row],[Data]],"ddd")</f>
        <v>qui</v>
      </c>
      <c r="N150" s="15" t="str">
        <f>TEXT(bd_Main[[#This Row],[Data]],"MMM")</f>
        <v>ago</v>
      </c>
      <c r="O150" s="15" t="str">
        <f>TEXT(bd_Main[[#This Row],[Data]],"AAAA")</f>
        <v>2020</v>
      </c>
    </row>
    <row r="151" spans="1:15" x14ac:dyDescent="0.25">
      <c r="A151" s="7">
        <f t="shared" si="2"/>
        <v>150</v>
      </c>
      <c r="B151" s="2">
        <v>44070</v>
      </c>
      <c r="C151" s="3" t="s">
        <v>95</v>
      </c>
      <c r="D151" s="3" t="s">
        <v>75</v>
      </c>
      <c r="E151" s="3" t="s">
        <v>14</v>
      </c>
      <c r="F151" s="3" t="s">
        <v>87</v>
      </c>
      <c r="G151" s="3">
        <v>0</v>
      </c>
      <c r="H151" s="3" t="s">
        <v>24</v>
      </c>
      <c r="I151" s="3" t="s">
        <v>63</v>
      </c>
      <c r="J151" s="3" t="s">
        <v>69</v>
      </c>
      <c r="K151" s="3" t="s">
        <v>26</v>
      </c>
      <c r="L151" s="4">
        <v>88</v>
      </c>
      <c r="M151" s="15" t="str">
        <f>TEXT(bd_Main[[#This Row],[Data]],"ddd")</f>
        <v>qui</v>
      </c>
      <c r="N151" s="15" t="str">
        <f>TEXT(bd_Main[[#This Row],[Data]],"MMM")</f>
        <v>ago</v>
      </c>
      <c r="O151" s="15" t="str">
        <f>TEXT(bd_Main[[#This Row],[Data]],"AAAA")</f>
        <v>2020</v>
      </c>
    </row>
    <row r="152" spans="1:15" x14ac:dyDescent="0.25">
      <c r="A152" s="7">
        <f t="shared" si="2"/>
        <v>151</v>
      </c>
      <c r="B152" s="2">
        <v>44073</v>
      </c>
      <c r="C152" s="3" t="s">
        <v>90</v>
      </c>
      <c r="D152" s="3" t="s">
        <v>74</v>
      </c>
      <c r="E152" s="3" t="s">
        <v>14</v>
      </c>
      <c r="F152" s="3" t="s">
        <v>85</v>
      </c>
      <c r="G152" s="3">
        <v>0</v>
      </c>
      <c r="H152" s="3" t="s">
        <v>15</v>
      </c>
      <c r="I152" s="3" t="s">
        <v>61</v>
      </c>
      <c r="J152" s="3" t="s">
        <v>69</v>
      </c>
      <c r="K152" s="3" t="s">
        <v>12</v>
      </c>
      <c r="L152" s="4">
        <v>0</v>
      </c>
      <c r="M152" s="15" t="str">
        <f>TEXT(bd_Main[[#This Row],[Data]],"ddd")</f>
        <v>dom</v>
      </c>
      <c r="N152" s="15" t="str">
        <f>TEXT(bd_Main[[#This Row],[Data]],"MMM")</f>
        <v>ago</v>
      </c>
      <c r="O152" s="15" t="str">
        <f>TEXT(bd_Main[[#This Row],[Data]],"AAAA")</f>
        <v>2020</v>
      </c>
    </row>
    <row r="153" spans="1:15" x14ac:dyDescent="0.25">
      <c r="A153" s="7">
        <f t="shared" si="2"/>
        <v>152</v>
      </c>
      <c r="B153" s="2">
        <v>44074</v>
      </c>
      <c r="C153" s="3" t="s">
        <v>95</v>
      </c>
      <c r="D153" s="3" t="s">
        <v>75</v>
      </c>
      <c r="E153" s="3" t="s">
        <v>17</v>
      </c>
      <c r="F153" s="3" t="s">
        <v>84</v>
      </c>
      <c r="G153" s="3">
        <v>2.5</v>
      </c>
      <c r="H153" s="3" t="s">
        <v>21</v>
      </c>
      <c r="I153" s="3" t="s">
        <v>62</v>
      </c>
      <c r="J153" s="3" t="s">
        <v>71</v>
      </c>
      <c r="K153" s="3" t="s">
        <v>28</v>
      </c>
      <c r="L153" s="4">
        <v>3488</v>
      </c>
      <c r="M153" s="15" t="str">
        <f>TEXT(bd_Main[[#This Row],[Data]],"ddd")</f>
        <v>seg</v>
      </c>
      <c r="N153" s="15" t="str">
        <f>TEXT(bd_Main[[#This Row],[Data]],"MMM")</f>
        <v>ago</v>
      </c>
      <c r="O153" s="15" t="str">
        <f>TEXT(bd_Main[[#This Row],[Data]],"AAAA")</f>
        <v>2020</v>
      </c>
    </row>
    <row r="154" spans="1:15" x14ac:dyDescent="0.25">
      <c r="A154" s="7">
        <f t="shared" si="2"/>
        <v>153</v>
      </c>
      <c r="B154" s="2">
        <v>44079</v>
      </c>
      <c r="C154" s="3" t="s">
        <v>13</v>
      </c>
      <c r="D154" s="3" t="s">
        <v>75</v>
      </c>
      <c r="E154" s="3" t="s">
        <v>10</v>
      </c>
      <c r="F154" s="3" t="s">
        <v>85</v>
      </c>
      <c r="G154" s="3">
        <v>0</v>
      </c>
      <c r="H154" s="3" t="s">
        <v>29</v>
      </c>
      <c r="I154" s="3" t="s">
        <v>63</v>
      </c>
      <c r="J154" s="3" t="s">
        <v>70</v>
      </c>
      <c r="K154" s="3" t="s">
        <v>19</v>
      </c>
      <c r="L154" s="4">
        <v>351</v>
      </c>
      <c r="M154" s="15" t="str">
        <f>TEXT(bd_Main[[#This Row],[Data]],"ddd")</f>
        <v>sáb</v>
      </c>
      <c r="N154" s="15" t="str">
        <f>TEXT(bd_Main[[#This Row],[Data]],"MMM")</f>
        <v>set</v>
      </c>
      <c r="O154" s="15" t="str">
        <f>TEXT(bd_Main[[#This Row],[Data]],"AAAA")</f>
        <v>2020</v>
      </c>
    </row>
    <row r="155" spans="1:15" x14ac:dyDescent="0.25">
      <c r="A155" s="7">
        <f t="shared" si="2"/>
        <v>154</v>
      </c>
      <c r="B155" s="2">
        <v>44080</v>
      </c>
      <c r="C155" s="3" t="s">
        <v>95</v>
      </c>
      <c r="D155" s="3" t="s">
        <v>74</v>
      </c>
      <c r="E155" s="3" t="s">
        <v>20</v>
      </c>
      <c r="F155" s="3" t="s">
        <v>81</v>
      </c>
      <c r="G155" s="3">
        <v>0</v>
      </c>
      <c r="H155" s="3" t="s">
        <v>15</v>
      </c>
      <c r="I155" s="3" t="s">
        <v>63</v>
      </c>
      <c r="J155" s="3" t="s">
        <v>71</v>
      </c>
      <c r="K155" s="3" t="s">
        <v>16</v>
      </c>
      <c r="L155" s="4">
        <v>430</v>
      </c>
      <c r="M155" s="15" t="str">
        <f>TEXT(bd_Main[[#This Row],[Data]],"ddd")</f>
        <v>dom</v>
      </c>
      <c r="N155" s="15" t="str">
        <f>TEXT(bd_Main[[#This Row],[Data]],"MMM")</f>
        <v>set</v>
      </c>
      <c r="O155" s="15" t="str">
        <f>TEXT(bd_Main[[#This Row],[Data]],"AAAA")</f>
        <v>2020</v>
      </c>
    </row>
    <row r="156" spans="1:15" x14ac:dyDescent="0.25">
      <c r="A156" s="7">
        <f t="shared" si="2"/>
        <v>155</v>
      </c>
      <c r="B156" s="2">
        <v>44081</v>
      </c>
      <c r="C156" s="3" t="s">
        <v>33</v>
      </c>
      <c r="D156" s="3" t="s">
        <v>74</v>
      </c>
      <c r="E156" s="3" t="s">
        <v>14</v>
      </c>
      <c r="F156" s="3" t="s">
        <v>80</v>
      </c>
      <c r="G156" s="3">
        <v>0</v>
      </c>
      <c r="H156" s="3" t="s">
        <v>32</v>
      </c>
      <c r="I156" s="3" t="s">
        <v>64</v>
      </c>
      <c r="J156" s="3" t="s">
        <v>70</v>
      </c>
      <c r="K156" s="3" t="s">
        <v>26</v>
      </c>
      <c r="L156" s="4">
        <v>4871</v>
      </c>
      <c r="M156" s="15" t="str">
        <f>TEXT(bd_Main[[#This Row],[Data]],"ddd")</f>
        <v>seg</v>
      </c>
      <c r="N156" s="15" t="str">
        <f>TEXT(bd_Main[[#This Row],[Data]],"MMM")</f>
        <v>set</v>
      </c>
      <c r="O156" s="15" t="str">
        <f>TEXT(bd_Main[[#This Row],[Data]],"AAAA")</f>
        <v>2020</v>
      </c>
    </row>
    <row r="157" spans="1:15" x14ac:dyDescent="0.25">
      <c r="A157" s="7">
        <f t="shared" si="2"/>
        <v>156</v>
      </c>
      <c r="B157" s="2">
        <v>44085</v>
      </c>
      <c r="C157" s="3" t="s">
        <v>91</v>
      </c>
      <c r="D157" s="3" t="s">
        <v>74</v>
      </c>
      <c r="E157" s="3" t="s">
        <v>17</v>
      </c>
      <c r="F157" s="3" t="s">
        <v>81</v>
      </c>
      <c r="G157" s="3">
        <v>1.5</v>
      </c>
      <c r="H157" s="3" t="s">
        <v>32</v>
      </c>
      <c r="I157" s="3" t="s">
        <v>62</v>
      </c>
      <c r="J157" s="3" t="s">
        <v>71</v>
      </c>
      <c r="K157" s="3" t="s">
        <v>22</v>
      </c>
      <c r="L157" s="4">
        <v>1230</v>
      </c>
      <c r="M157" s="15" t="str">
        <f>TEXT(bd_Main[[#This Row],[Data]],"ddd")</f>
        <v>sex</v>
      </c>
      <c r="N157" s="15" t="str">
        <f>TEXT(bd_Main[[#This Row],[Data]],"MMM")</f>
        <v>set</v>
      </c>
      <c r="O157" s="15" t="str">
        <f>TEXT(bd_Main[[#This Row],[Data]],"AAAA")</f>
        <v>2020</v>
      </c>
    </row>
    <row r="158" spans="1:15" x14ac:dyDescent="0.25">
      <c r="A158" s="7">
        <f t="shared" si="2"/>
        <v>157</v>
      </c>
      <c r="B158" s="2">
        <v>44087</v>
      </c>
      <c r="C158" s="3" t="s">
        <v>94</v>
      </c>
      <c r="D158" s="3" t="s">
        <v>74</v>
      </c>
      <c r="E158" s="3" t="s">
        <v>20</v>
      </c>
      <c r="F158" s="3" t="s">
        <v>81</v>
      </c>
      <c r="G158" s="3">
        <v>0</v>
      </c>
      <c r="H158" s="3" t="s">
        <v>21</v>
      </c>
      <c r="I158" s="3" t="s">
        <v>61</v>
      </c>
      <c r="J158" s="3" t="s">
        <v>71</v>
      </c>
      <c r="K158" s="3" t="s">
        <v>31</v>
      </c>
      <c r="L158" s="4">
        <v>0</v>
      </c>
      <c r="M158" s="15" t="str">
        <f>TEXT(bd_Main[[#This Row],[Data]],"ddd")</f>
        <v>dom</v>
      </c>
      <c r="N158" s="15" t="str">
        <f>TEXT(bd_Main[[#This Row],[Data]],"MMM")</f>
        <v>set</v>
      </c>
      <c r="O158" s="15" t="str">
        <f>TEXT(bd_Main[[#This Row],[Data]],"AAAA")</f>
        <v>2020</v>
      </c>
    </row>
    <row r="159" spans="1:15" x14ac:dyDescent="0.25">
      <c r="A159" s="7">
        <f t="shared" si="2"/>
        <v>158</v>
      </c>
      <c r="B159" s="2">
        <v>44088</v>
      </c>
      <c r="C159" s="3" t="s">
        <v>94</v>
      </c>
      <c r="D159" s="3" t="s">
        <v>74</v>
      </c>
      <c r="E159" s="3" t="s">
        <v>14</v>
      </c>
      <c r="F159" s="3" t="s">
        <v>85</v>
      </c>
      <c r="G159" s="3">
        <v>0</v>
      </c>
      <c r="H159" s="3" t="s">
        <v>30</v>
      </c>
      <c r="I159" s="3" t="s">
        <v>64</v>
      </c>
      <c r="J159" s="3" t="s">
        <v>71</v>
      </c>
      <c r="K159" s="3" t="s">
        <v>16</v>
      </c>
      <c r="L159" s="4">
        <v>1136</v>
      </c>
      <c r="M159" s="15" t="str">
        <f>TEXT(bd_Main[[#This Row],[Data]],"ddd")</f>
        <v>seg</v>
      </c>
      <c r="N159" s="15" t="str">
        <f>TEXT(bd_Main[[#This Row],[Data]],"MMM")</f>
        <v>set</v>
      </c>
      <c r="O159" s="15" t="str">
        <f>TEXT(bd_Main[[#This Row],[Data]],"AAAA")</f>
        <v>2020</v>
      </c>
    </row>
    <row r="160" spans="1:15" x14ac:dyDescent="0.25">
      <c r="A160" s="7">
        <f t="shared" si="2"/>
        <v>159</v>
      </c>
      <c r="B160" s="2">
        <v>44090</v>
      </c>
      <c r="C160" s="3" t="s">
        <v>93</v>
      </c>
      <c r="D160" s="3" t="s">
        <v>75</v>
      </c>
      <c r="E160" s="3" t="s">
        <v>14</v>
      </c>
      <c r="F160" s="3" t="s">
        <v>87</v>
      </c>
      <c r="G160" s="3">
        <v>0</v>
      </c>
      <c r="H160" s="3" t="s">
        <v>29</v>
      </c>
      <c r="I160" s="3" t="s">
        <v>64</v>
      </c>
      <c r="J160" s="3" t="s">
        <v>70</v>
      </c>
      <c r="K160" s="3" t="s">
        <v>16</v>
      </c>
      <c r="L160" s="4">
        <v>1819</v>
      </c>
      <c r="M160" s="15" t="str">
        <f>TEXT(bd_Main[[#This Row],[Data]],"ddd")</f>
        <v>qua</v>
      </c>
      <c r="N160" s="15" t="str">
        <f>TEXT(bd_Main[[#This Row],[Data]],"MMM")</f>
        <v>set</v>
      </c>
      <c r="O160" s="15" t="str">
        <f>TEXT(bd_Main[[#This Row],[Data]],"AAAA")</f>
        <v>2020</v>
      </c>
    </row>
    <row r="161" spans="1:15" x14ac:dyDescent="0.25">
      <c r="A161" s="7">
        <f t="shared" si="2"/>
        <v>160</v>
      </c>
      <c r="B161" s="2">
        <v>44096</v>
      </c>
      <c r="C161" s="3" t="s">
        <v>93</v>
      </c>
      <c r="D161" s="3" t="s">
        <v>74</v>
      </c>
      <c r="E161" s="3" t="s">
        <v>10</v>
      </c>
      <c r="F161" s="3" t="s">
        <v>87</v>
      </c>
      <c r="G161" s="3">
        <v>2.5</v>
      </c>
      <c r="H161" s="3" t="s">
        <v>18</v>
      </c>
      <c r="I161" s="3" t="s">
        <v>62</v>
      </c>
      <c r="J161" s="3" t="s">
        <v>71</v>
      </c>
      <c r="K161" s="3" t="s">
        <v>28</v>
      </c>
      <c r="L161" s="4">
        <v>709</v>
      </c>
      <c r="M161" s="15" t="str">
        <f>TEXT(bd_Main[[#This Row],[Data]],"ddd")</f>
        <v>ter</v>
      </c>
      <c r="N161" s="15" t="str">
        <f>TEXT(bd_Main[[#This Row],[Data]],"MMM")</f>
        <v>set</v>
      </c>
      <c r="O161" s="15" t="str">
        <f>TEXT(bd_Main[[#This Row],[Data]],"AAAA")</f>
        <v>2020</v>
      </c>
    </row>
    <row r="162" spans="1:15" x14ac:dyDescent="0.25">
      <c r="A162" s="7">
        <f t="shared" si="2"/>
        <v>161</v>
      </c>
      <c r="B162" s="2">
        <v>44097</v>
      </c>
      <c r="C162" s="3" t="s">
        <v>90</v>
      </c>
      <c r="D162" s="3" t="s">
        <v>74</v>
      </c>
      <c r="E162" s="3" t="s">
        <v>17</v>
      </c>
      <c r="F162" s="3" t="s">
        <v>81</v>
      </c>
      <c r="G162" s="3">
        <v>0</v>
      </c>
      <c r="H162" s="3" t="s">
        <v>25</v>
      </c>
      <c r="I162" s="3" t="s">
        <v>63</v>
      </c>
      <c r="J162" s="3" t="s">
        <v>69</v>
      </c>
      <c r="K162" s="3" t="s">
        <v>28</v>
      </c>
      <c r="L162" s="4">
        <v>366</v>
      </c>
      <c r="M162" s="15" t="str">
        <f>TEXT(bd_Main[[#This Row],[Data]],"ddd")</f>
        <v>qua</v>
      </c>
      <c r="N162" s="15" t="str">
        <f>TEXT(bd_Main[[#This Row],[Data]],"MMM")</f>
        <v>set</v>
      </c>
      <c r="O162" s="15" t="str">
        <f>TEXT(bd_Main[[#This Row],[Data]],"AAAA")</f>
        <v>2020</v>
      </c>
    </row>
    <row r="163" spans="1:15" x14ac:dyDescent="0.25">
      <c r="A163" s="7">
        <f t="shared" si="2"/>
        <v>162</v>
      </c>
      <c r="B163" s="2">
        <v>44099</v>
      </c>
      <c r="C163" s="3" t="s">
        <v>93</v>
      </c>
      <c r="D163" s="3" t="s">
        <v>74</v>
      </c>
      <c r="E163" s="3" t="s">
        <v>14</v>
      </c>
      <c r="F163" s="3" t="s">
        <v>82</v>
      </c>
      <c r="G163" s="3">
        <v>0</v>
      </c>
      <c r="H163" s="3" t="s">
        <v>11</v>
      </c>
      <c r="I163" s="3" t="s">
        <v>63</v>
      </c>
      <c r="J163" s="3" t="s">
        <v>71</v>
      </c>
      <c r="K163" s="3" t="s">
        <v>19</v>
      </c>
      <c r="L163" s="4">
        <v>133</v>
      </c>
      <c r="M163" s="15" t="str">
        <f>TEXT(bd_Main[[#This Row],[Data]],"ddd")</f>
        <v>sex</v>
      </c>
      <c r="N163" s="15" t="str">
        <f>TEXT(bd_Main[[#This Row],[Data]],"MMM")</f>
        <v>set</v>
      </c>
      <c r="O163" s="15" t="str">
        <f>TEXT(bd_Main[[#This Row],[Data]],"AAAA")</f>
        <v>2020</v>
      </c>
    </row>
    <row r="164" spans="1:15" x14ac:dyDescent="0.25">
      <c r="A164" s="7">
        <f t="shared" si="2"/>
        <v>163</v>
      </c>
      <c r="B164" s="2">
        <v>44101</v>
      </c>
      <c r="C164" s="3" t="s">
        <v>96</v>
      </c>
      <c r="D164" s="3" t="s">
        <v>74</v>
      </c>
      <c r="E164" s="3" t="s">
        <v>20</v>
      </c>
      <c r="F164" s="3" t="s">
        <v>87</v>
      </c>
      <c r="G164" s="3">
        <v>0</v>
      </c>
      <c r="H164" s="3" t="s">
        <v>21</v>
      </c>
      <c r="I164" s="3" t="s">
        <v>63</v>
      </c>
      <c r="J164" s="3" t="s">
        <v>69</v>
      </c>
      <c r="K164" s="3" t="s">
        <v>16</v>
      </c>
      <c r="L164" s="4">
        <v>470</v>
      </c>
      <c r="M164" s="15" t="str">
        <f>TEXT(bd_Main[[#This Row],[Data]],"ddd")</f>
        <v>dom</v>
      </c>
      <c r="N164" s="15" t="str">
        <f>TEXT(bd_Main[[#This Row],[Data]],"MMM")</f>
        <v>set</v>
      </c>
      <c r="O164" s="15" t="str">
        <f>TEXT(bd_Main[[#This Row],[Data]],"AAAA")</f>
        <v>2020</v>
      </c>
    </row>
    <row r="165" spans="1:15" x14ac:dyDescent="0.25">
      <c r="A165" s="7">
        <f t="shared" si="2"/>
        <v>164</v>
      </c>
      <c r="B165" s="2">
        <v>44104</v>
      </c>
      <c r="C165" s="3" t="s">
        <v>13</v>
      </c>
      <c r="D165" s="3" t="s">
        <v>74</v>
      </c>
      <c r="E165" s="3" t="s">
        <v>14</v>
      </c>
      <c r="F165" s="3" t="s">
        <v>85</v>
      </c>
      <c r="G165" s="3">
        <v>0</v>
      </c>
      <c r="H165" s="3" t="s">
        <v>18</v>
      </c>
      <c r="I165" s="3" t="s">
        <v>61</v>
      </c>
      <c r="J165" s="3" t="s">
        <v>71</v>
      </c>
      <c r="K165" s="3" t="s">
        <v>27</v>
      </c>
      <c r="L165" s="4">
        <v>0</v>
      </c>
      <c r="M165" s="15" t="str">
        <f>TEXT(bd_Main[[#This Row],[Data]],"ddd")</f>
        <v>qua</v>
      </c>
      <c r="N165" s="15" t="str">
        <f>TEXT(bd_Main[[#This Row],[Data]],"MMM")</f>
        <v>set</v>
      </c>
      <c r="O165" s="15" t="str">
        <f>TEXT(bd_Main[[#This Row],[Data]],"AAAA")</f>
        <v>2020</v>
      </c>
    </row>
    <row r="166" spans="1:15" x14ac:dyDescent="0.25">
      <c r="A166" s="7">
        <f t="shared" si="2"/>
        <v>165</v>
      </c>
      <c r="B166" s="2">
        <v>44108</v>
      </c>
      <c r="C166" s="3" t="s">
        <v>93</v>
      </c>
      <c r="D166" s="3" t="s">
        <v>74</v>
      </c>
      <c r="E166" s="3" t="s">
        <v>14</v>
      </c>
      <c r="F166" s="3" t="s">
        <v>87</v>
      </c>
      <c r="G166" s="3">
        <v>1</v>
      </c>
      <c r="H166" s="3" t="s">
        <v>30</v>
      </c>
      <c r="I166" s="3" t="s">
        <v>62</v>
      </c>
      <c r="J166" s="3" t="s">
        <v>70</v>
      </c>
      <c r="K166" s="3" t="s">
        <v>22</v>
      </c>
      <c r="L166" s="4">
        <v>2237</v>
      </c>
      <c r="M166" s="15" t="str">
        <f>TEXT(bd_Main[[#This Row],[Data]],"ddd")</f>
        <v>dom</v>
      </c>
      <c r="N166" s="15" t="str">
        <f>TEXT(bd_Main[[#This Row],[Data]],"MMM")</f>
        <v>out</v>
      </c>
      <c r="O166" s="15" t="str">
        <f>TEXT(bd_Main[[#This Row],[Data]],"AAAA")</f>
        <v>2020</v>
      </c>
    </row>
    <row r="167" spans="1:15" x14ac:dyDescent="0.25">
      <c r="A167" s="7">
        <f t="shared" si="2"/>
        <v>166</v>
      </c>
      <c r="B167" s="2">
        <v>44113</v>
      </c>
      <c r="C167" s="3" t="s">
        <v>95</v>
      </c>
      <c r="D167" s="3" t="s">
        <v>74</v>
      </c>
      <c r="E167" s="3" t="s">
        <v>20</v>
      </c>
      <c r="F167" s="3" t="s">
        <v>79</v>
      </c>
      <c r="G167" s="3">
        <v>0</v>
      </c>
      <c r="H167" s="3" t="s">
        <v>25</v>
      </c>
      <c r="I167" s="3" t="s">
        <v>63</v>
      </c>
      <c r="J167" s="3" t="s">
        <v>70</v>
      </c>
      <c r="K167" s="3" t="s">
        <v>26</v>
      </c>
      <c r="L167" s="4">
        <v>58</v>
      </c>
      <c r="M167" s="15" t="str">
        <f>TEXT(bd_Main[[#This Row],[Data]],"ddd")</f>
        <v>sex</v>
      </c>
      <c r="N167" s="15" t="str">
        <f>TEXT(bd_Main[[#This Row],[Data]],"MMM")</f>
        <v>out</v>
      </c>
      <c r="O167" s="15" t="str">
        <f>TEXT(bd_Main[[#This Row],[Data]],"AAAA")</f>
        <v>2020</v>
      </c>
    </row>
    <row r="168" spans="1:15" x14ac:dyDescent="0.25">
      <c r="A168" s="7">
        <f t="shared" si="2"/>
        <v>167</v>
      </c>
      <c r="B168" s="2">
        <v>44115</v>
      </c>
      <c r="C168" s="3" t="s">
        <v>92</v>
      </c>
      <c r="D168" s="3" t="s">
        <v>74</v>
      </c>
      <c r="E168" s="3" t="s">
        <v>14</v>
      </c>
      <c r="F168" s="3" t="s">
        <v>86</v>
      </c>
      <c r="G168" s="3">
        <v>4.5</v>
      </c>
      <c r="H168" s="3" t="s">
        <v>11</v>
      </c>
      <c r="I168" s="3" t="s">
        <v>62</v>
      </c>
      <c r="J168" s="3" t="s">
        <v>71</v>
      </c>
      <c r="K168" s="3" t="s">
        <v>16</v>
      </c>
      <c r="L168" s="4">
        <v>3299</v>
      </c>
      <c r="M168" s="15" t="str">
        <f>TEXT(bd_Main[[#This Row],[Data]],"ddd")</f>
        <v>dom</v>
      </c>
      <c r="N168" s="15" t="str">
        <f>TEXT(bd_Main[[#This Row],[Data]],"MMM")</f>
        <v>out</v>
      </c>
      <c r="O168" s="15" t="str">
        <f>TEXT(bd_Main[[#This Row],[Data]],"AAAA")</f>
        <v>2020</v>
      </c>
    </row>
    <row r="169" spans="1:15" x14ac:dyDescent="0.25">
      <c r="A169" s="7">
        <f t="shared" si="2"/>
        <v>168</v>
      </c>
      <c r="B169" s="2">
        <v>44116</v>
      </c>
      <c r="C169" s="3" t="s">
        <v>96</v>
      </c>
      <c r="D169" s="3" t="s">
        <v>74</v>
      </c>
      <c r="E169" s="3" t="s">
        <v>20</v>
      </c>
      <c r="F169" s="3" t="s">
        <v>84</v>
      </c>
      <c r="G169" s="3">
        <v>0</v>
      </c>
      <c r="H169" s="3" t="s">
        <v>24</v>
      </c>
      <c r="I169" s="3" t="s">
        <v>63</v>
      </c>
      <c r="J169" s="3" t="s">
        <v>71</v>
      </c>
      <c r="K169" s="3" t="s">
        <v>16</v>
      </c>
      <c r="L169" s="4">
        <v>369</v>
      </c>
      <c r="M169" s="15" t="str">
        <f>TEXT(bd_Main[[#This Row],[Data]],"ddd")</f>
        <v>seg</v>
      </c>
      <c r="N169" s="15" t="str">
        <f>TEXT(bd_Main[[#This Row],[Data]],"MMM")</f>
        <v>out</v>
      </c>
      <c r="O169" s="15" t="str">
        <f>TEXT(bd_Main[[#This Row],[Data]],"AAAA")</f>
        <v>2020</v>
      </c>
    </row>
    <row r="170" spans="1:15" x14ac:dyDescent="0.25">
      <c r="A170" s="7">
        <f t="shared" si="2"/>
        <v>169</v>
      </c>
      <c r="B170" s="2">
        <v>44116</v>
      </c>
      <c r="C170" s="3" t="s">
        <v>92</v>
      </c>
      <c r="D170" s="3" t="s">
        <v>74</v>
      </c>
      <c r="E170" s="3" t="s">
        <v>17</v>
      </c>
      <c r="F170" s="3" t="s">
        <v>86</v>
      </c>
      <c r="G170" s="3">
        <v>0</v>
      </c>
      <c r="H170" s="3" t="s">
        <v>18</v>
      </c>
      <c r="I170" s="3" t="s">
        <v>63</v>
      </c>
      <c r="J170" s="3" t="s">
        <v>70</v>
      </c>
      <c r="K170" s="3" t="s">
        <v>22</v>
      </c>
      <c r="L170" s="4">
        <v>229</v>
      </c>
      <c r="M170" s="15" t="str">
        <f>TEXT(bd_Main[[#This Row],[Data]],"ddd")</f>
        <v>seg</v>
      </c>
      <c r="N170" s="15" t="str">
        <f>TEXT(bd_Main[[#This Row],[Data]],"MMM")</f>
        <v>out</v>
      </c>
      <c r="O170" s="15" t="str">
        <f>TEXT(bd_Main[[#This Row],[Data]],"AAAA")</f>
        <v>2020</v>
      </c>
    </row>
    <row r="171" spans="1:15" x14ac:dyDescent="0.25">
      <c r="A171" s="7">
        <f t="shared" si="2"/>
        <v>170</v>
      </c>
      <c r="B171" s="2">
        <v>44117</v>
      </c>
      <c r="C171" s="3" t="s">
        <v>13</v>
      </c>
      <c r="D171" s="3" t="s">
        <v>74</v>
      </c>
      <c r="E171" s="3" t="s">
        <v>10</v>
      </c>
      <c r="F171" s="3" t="s">
        <v>81</v>
      </c>
      <c r="G171" s="3">
        <v>2.5</v>
      </c>
      <c r="H171" s="3" t="s">
        <v>21</v>
      </c>
      <c r="I171" s="3" t="s">
        <v>62</v>
      </c>
      <c r="J171" s="3" t="s">
        <v>70</v>
      </c>
      <c r="K171" s="3" t="s">
        <v>23</v>
      </c>
      <c r="L171" s="4">
        <v>1731</v>
      </c>
      <c r="M171" s="15" t="str">
        <f>TEXT(bd_Main[[#This Row],[Data]],"ddd")</f>
        <v>ter</v>
      </c>
      <c r="N171" s="15" t="str">
        <f>TEXT(bd_Main[[#This Row],[Data]],"MMM")</f>
        <v>out</v>
      </c>
      <c r="O171" s="15" t="str">
        <f>TEXT(bd_Main[[#This Row],[Data]],"AAAA")</f>
        <v>2020</v>
      </c>
    </row>
    <row r="172" spans="1:15" x14ac:dyDescent="0.25">
      <c r="A172" s="7">
        <f t="shared" si="2"/>
        <v>171</v>
      </c>
      <c r="B172" s="2">
        <v>44117</v>
      </c>
      <c r="C172" s="3" t="s">
        <v>13</v>
      </c>
      <c r="D172" s="3" t="s">
        <v>74</v>
      </c>
      <c r="E172" s="3" t="s">
        <v>14</v>
      </c>
      <c r="F172" s="3" t="s">
        <v>86</v>
      </c>
      <c r="G172" s="3">
        <v>1.5</v>
      </c>
      <c r="H172" s="3" t="s">
        <v>25</v>
      </c>
      <c r="I172" s="3" t="s">
        <v>62</v>
      </c>
      <c r="J172" s="3" t="s">
        <v>69</v>
      </c>
      <c r="K172" s="3" t="s">
        <v>16</v>
      </c>
      <c r="L172" s="4">
        <v>4823</v>
      </c>
      <c r="M172" s="15" t="str">
        <f>TEXT(bd_Main[[#This Row],[Data]],"ddd")</f>
        <v>ter</v>
      </c>
      <c r="N172" s="15" t="str">
        <f>TEXT(bd_Main[[#This Row],[Data]],"MMM")</f>
        <v>out</v>
      </c>
      <c r="O172" s="15" t="str">
        <f>TEXT(bd_Main[[#This Row],[Data]],"AAAA")</f>
        <v>2020</v>
      </c>
    </row>
    <row r="173" spans="1:15" x14ac:dyDescent="0.25">
      <c r="A173" s="7">
        <f t="shared" si="2"/>
        <v>172</v>
      </c>
      <c r="B173" s="2">
        <v>44118</v>
      </c>
      <c r="C173" s="3" t="s">
        <v>33</v>
      </c>
      <c r="D173" s="3" t="s">
        <v>74</v>
      </c>
      <c r="E173" s="3" t="s">
        <v>10</v>
      </c>
      <c r="F173" s="3" t="s">
        <v>87</v>
      </c>
      <c r="G173" s="3">
        <v>0</v>
      </c>
      <c r="H173" s="3" t="s">
        <v>18</v>
      </c>
      <c r="I173" s="3" t="s">
        <v>63</v>
      </c>
      <c r="J173" s="3" t="s">
        <v>71</v>
      </c>
      <c r="K173" s="3" t="s">
        <v>16</v>
      </c>
      <c r="L173" s="4">
        <v>57</v>
      </c>
      <c r="M173" s="15" t="str">
        <f>TEXT(bd_Main[[#This Row],[Data]],"ddd")</f>
        <v>qua</v>
      </c>
      <c r="N173" s="15" t="str">
        <f>TEXT(bd_Main[[#This Row],[Data]],"MMM")</f>
        <v>out</v>
      </c>
      <c r="O173" s="15" t="str">
        <f>TEXT(bd_Main[[#This Row],[Data]],"AAAA")</f>
        <v>2020</v>
      </c>
    </row>
    <row r="174" spans="1:15" x14ac:dyDescent="0.25">
      <c r="A174" s="7">
        <f t="shared" si="2"/>
        <v>173</v>
      </c>
      <c r="B174" s="2">
        <v>44120</v>
      </c>
      <c r="C174" s="3" t="s">
        <v>91</v>
      </c>
      <c r="D174" s="3" t="s">
        <v>74</v>
      </c>
      <c r="E174" s="3" t="s">
        <v>14</v>
      </c>
      <c r="F174" s="3" t="s">
        <v>79</v>
      </c>
      <c r="G174" s="3">
        <v>0</v>
      </c>
      <c r="H174" s="3" t="s">
        <v>11</v>
      </c>
      <c r="I174" s="3" t="s">
        <v>63</v>
      </c>
      <c r="J174" s="3" t="s">
        <v>70</v>
      </c>
      <c r="K174" s="3" t="s">
        <v>27</v>
      </c>
      <c r="L174" s="4">
        <v>466</v>
      </c>
      <c r="M174" s="15" t="str">
        <f>TEXT(bd_Main[[#This Row],[Data]],"ddd")</f>
        <v>sex</v>
      </c>
      <c r="N174" s="15" t="str">
        <f>TEXT(bd_Main[[#This Row],[Data]],"MMM")</f>
        <v>out</v>
      </c>
      <c r="O174" s="15" t="str">
        <f>TEXT(bd_Main[[#This Row],[Data]],"AAAA")</f>
        <v>2020</v>
      </c>
    </row>
    <row r="175" spans="1:15" x14ac:dyDescent="0.25">
      <c r="A175" s="7">
        <f t="shared" si="2"/>
        <v>174</v>
      </c>
      <c r="B175" s="2">
        <v>44120</v>
      </c>
      <c r="C175" s="3" t="s">
        <v>13</v>
      </c>
      <c r="D175" s="3" t="s">
        <v>74</v>
      </c>
      <c r="E175" s="3" t="s">
        <v>20</v>
      </c>
      <c r="F175" s="3" t="s">
        <v>84</v>
      </c>
      <c r="G175" s="3">
        <v>0</v>
      </c>
      <c r="H175" s="3" t="s">
        <v>24</v>
      </c>
      <c r="I175" s="3" t="s">
        <v>61</v>
      </c>
      <c r="J175" s="3" t="s">
        <v>71</v>
      </c>
      <c r="K175" s="3" t="s">
        <v>19</v>
      </c>
      <c r="L175" s="4">
        <v>0</v>
      </c>
      <c r="M175" s="15" t="str">
        <f>TEXT(bd_Main[[#This Row],[Data]],"ddd")</f>
        <v>sex</v>
      </c>
      <c r="N175" s="15" t="str">
        <f>TEXT(bd_Main[[#This Row],[Data]],"MMM")</f>
        <v>out</v>
      </c>
      <c r="O175" s="15" t="str">
        <f>TEXT(bd_Main[[#This Row],[Data]],"AAAA")</f>
        <v>2020</v>
      </c>
    </row>
    <row r="176" spans="1:15" x14ac:dyDescent="0.25">
      <c r="A176" s="7">
        <f t="shared" si="2"/>
        <v>175</v>
      </c>
      <c r="B176" s="2">
        <v>44121</v>
      </c>
      <c r="C176" s="3" t="s">
        <v>90</v>
      </c>
      <c r="D176" s="3" t="s">
        <v>74</v>
      </c>
      <c r="E176" s="3" t="s">
        <v>10</v>
      </c>
      <c r="F176" s="3" t="s">
        <v>82</v>
      </c>
      <c r="G176" s="3">
        <v>0</v>
      </c>
      <c r="H176" s="3" t="s">
        <v>24</v>
      </c>
      <c r="I176" s="3" t="s">
        <v>61</v>
      </c>
      <c r="J176" s="3" t="s">
        <v>71</v>
      </c>
      <c r="K176" s="3" t="s">
        <v>12</v>
      </c>
      <c r="L176" s="4">
        <v>0</v>
      </c>
      <c r="M176" s="15" t="str">
        <f>TEXT(bd_Main[[#This Row],[Data]],"ddd")</f>
        <v>sáb</v>
      </c>
      <c r="N176" s="15" t="str">
        <f>TEXT(bd_Main[[#This Row],[Data]],"MMM")</f>
        <v>out</v>
      </c>
      <c r="O176" s="15" t="str">
        <f>TEXT(bd_Main[[#This Row],[Data]],"AAAA")</f>
        <v>2020</v>
      </c>
    </row>
    <row r="177" spans="1:15" x14ac:dyDescent="0.25">
      <c r="A177" s="7">
        <f t="shared" si="2"/>
        <v>176</v>
      </c>
      <c r="B177" s="2">
        <v>44123</v>
      </c>
      <c r="C177" s="3" t="s">
        <v>94</v>
      </c>
      <c r="D177" s="3" t="s">
        <v>74</v>
      </c>
      <c r="E177" s="3" t="s">
        <v>10</v>
      </c>
      <c r="F177" s="3" t="s">
        <v>80</v>
      </c>
      <c r="G177" s="3">
        <v>0</v>
      </c>
      <c r="H177" s="3" t="s">
        <v>29</v>
      </c>
      <c r="I177" s="3" t="s">
        <v>61</v>
      </c>
      <c r="J177" s="3" t="s">
        <v>70</v>
      </c>
      <c r="K177" s="3" t="s">
        <v>22</v>
      </c>
      <c r="L177" s="4">
        <v>0</v>
      </c>
      <c r="M177" s="15" t="str">
        <f>TEXT(bd_Main[[#This Row],[Data]],"ddd")</f>
        <v>seg</v>
      </c>
      <c r="N177" s="15" t="str">
        <f>TEXT(bd_Main[[#This Row],[Data]],"MMM")</f>
        <v>out</v>
      </c>
      <c r="O177" s="15" t="str">
        <f>TEXT(bd_Main[[#This Row],[Data]],"AAAA")</f>
        <v>2020</v>
      </c>
    </row>
    <row r="178" spans="1:15" x14ac:dyDescent="0.25">
      <c r="A178" s="7">
        <f t="shared" si="2"/>
        <v>177</v>
      </c>
      <c r="B178" s="2">
        <v>44126</v>
      </c>
      <c r="C178" s="3" t="s">
        <v>95</v>
      </c>
      <c r="D178" s="3" t="s">
        <v>74</v>
      </c>
      <c r="E178" s="3" t="s">
        <v>10</v>
      </c>
      <c r="F178" s="3" t="s">
        <v>84</v>
      </c>
      <c r="G178" s="3">
        <v>2</v>
      </c>
      <c r="H178" s="3" t="s">
        <v>11</v>
      </c>
      <c r="I178" s="3" t="s">
        <v>62</v>
      </c>
      <c r="J178" s="3" t="s">
        <v>71</v>
      </c>
      <c r="K178" s="3" t="s">
        <v>16</v>
      </c>
      <c r="L178" s="4">
        <v>3549</v>
      </c>
      <c r="M178" s="15" t="str">
        <f>TEXT(bd_Main[[#This Row],[Data]],"ddd")</f>
        <v>qui</v>
      </c>
      <c r="N178" s="15" t="str">
        <f>TEXT(bd_Main[[#This Row],[Data]],"MMM")</f>
        <v>out</v>
      </c>
      <c r="O178" s="15" t="str">
        <f>TEXT(bd_Main[[#This Row],[Data]],"AAAA")</f>
        <v>2020</v>
      </c>
    </row>
    <row r="179" spans="1:15" x14ac:dyDescent="0.25">
      <c r="A179" s="7">
        <f t="shared" si="2"/>
        <v>178</v>
      </c>
      <c r="B179" s="2">
        <v>44128</v>
      </c>
      <c r="C179" s="3" t="s">
        <v>95</v>
      </c>
      <c r="D179" s="3" t="s">
        <v>74</v>
      </c>
      <c r="E179" s="3" t="s">
        <v>20</v>
      </c>
      <c r="F179" s="3" t="s">
        <v>83</v>
      </c>
      <c r="G179" s="3">
        <v>0</v>
      </c>
      <c r="H179" s="3" t="s">
        <v>15</v>
      </c>
      <c r="I179" s="3" t="s">
        <v>64</v>
      </c>
      <c r="J179" s="3" t="s">
        <v>70</v>
      </c>
      <c r="K179" s="3" t="s">
        <v>16</v>
      </c>
      <c r="L179" s="4">
        <v>2476</v>
      </c>
      <c r="M179" s="15" t="str">
        <f>TEXT(bd_Main[[#This Row],[Data]],"ddd")</f>
        <v>sáb</v>
      </c>
      <c r="N179" s="15" t="str">
        <f>TEXT(bd_Main[[#This Row],[Data]],"MMM")</f>
        <v>out</v>
      </c>
      <c r="O179" s="15" t="str">
        <f>TEXT(bd_Main[[#This Row],[Data]],"AAAA")</f>
        <v>2020</v>
      </c>
    </row>
    <row r="180" spans="1:15" x14ac:dyDescent="0.25">
      <c r="A180" s="7">
        <f t="shared" si="2"/>
        <v>179</v>
      </c>
      <c r="B180" s="2">
        <v>44130</v>
      </c>
      <c r="C180" s="3" t="s">
        <v>94</v>
      </c>
      <c r="D180" s="3" t="s">
        <v>74</v>
      </c>
      <c r="E180" s="3" t="s">
        <v>10</v>
      </c>
      <c r="F180" s="3" t="s">
        <v>79</v>
      </c>
      <c r="G180" s="3">
        <v>4.5</v>
      </c>
      <c r="H180" s="3" t="s">
        <v>29</v>
      </c>
      <c r="I180" s="3" t="s">
        <v>62</v>
      </c>
      <c r="J180" s="3" t="s">
        <v>71</v>
      </c>
      <c r="K180" s="3" t="s">
        <v>26</v>
      </c>
      <c r="L180" s="4">
        <v>1935</v>
      </c>
      <c r="M180" s="15" t="str">
        <f>TEXT(bd_Main[[#This Row],[Data]],"ddd")</f>
        <v>seg</v>
      </c>
      <c r="N180" s="15" t="str">
        <f>TEXT(bd_Main[[#This Row],[Data]],"MMM")</f>
        <v>out</v>
      </c>
      <c r="O180" s="15" t="str">
        <f>TEXT(bd_Main[[#This Row],[Data]],"AAAA")</f>
        <v>2020</v>
      </c>
    </row>
    <row r="181" spans="1:15" x14ac:dyDescent="0.25">
      <c r="A181" s="7">
        <f t="shared" si="2"/>
        <v>180</v>
      </c>
      <c r="B181" s="2">
        <v>44131</v>
      </c>
      <c r="C181" s="3" t="s">
        <v>91</v>
      </c>
      <c r="D181" s="3" t="s">
        <v>74</v>
      </c>
      <c r="E181" s="3" t="s">
        <v>14</v>
      </c>
      <c r="F181" s="3" t="s">
        <v>83</v>
      </c>
      <c r="G181" s="3">
        <v>0</v>
      </c>
      <c r="H181" s="3" t="s">
        <v>21</v>
      </c>
      <c r="I181" s="3" t="s">
        <v>63</v>
      </c>
      <c r="J181" s="3" t="s">
        <v>71</v>
      </c>
      <c r="K181" s="3" t="s">
        <v>28</v>
      </c>
      <c r="L181" s="4">
        <v>143</v>
      </c>
      <c r="M181" s="15" t="str">
        <f>TEXT(bd_Main[[#This Row],[Data]],"ddd")</f>
        <v>ter</v>
      </c>
      <c r="N181" s="15" t="str">
        <f>TEXT(bd_Main[[#This Row],[Data]],"MMM")</f>
        <v>out</v>
      </c>
      <c r="O181" s="15" t="str">
        <f>TEXT(bd_Main[[#This Row],[Data]],"AAAA")</f>
        <v>2020</v>
      </c>
    </row>
    <row r="182" spans="1:15" x14ac:dyDescent="0.25">
      <c r="A182" s="7">
        <f t="shared" si="2"/>
        <v>181</v>
      </c>
      <c r="B182" s="2">
        <v>44131</v>
      </c>
      <c r="C182" s="3" t="s">
        <v>92</v>
      </c>
      <c r="D182" s="3" t="s">
        <v>74</v>
      </c>
      <c r="E182" s="3" t="s">
        <v>10</v>
      </c>
      <c r="F182" s="3" t="s">
        <v>87</v>
      </c>
      <c r="G182" s="3">
        <v>3</v>
      </c>
      <c r="H182" s="3" t="s">
        <v>29</v>
      </c>
      <c r="I182" s="3" t="s">
        <v>62</v>
      </c>
      <c r="J182" s="3" t="s">
        <v>69</v>
      </c>
      <c r="K182" s="3" t="s">
        <v>19</v>
      </c>
      <c r="L182" s="4">
        <v>2397</v>
      </c>
      <c r="M182" s="15" t="str">
        <f>TEXT(bd_Main[[#This Row],[Data]],"ddd")</f>
        <v>ter</v>
      </c>
      <c r="N182" s="15" t="str">
        <f>TEXT(bd_Main[[#This Row],[Data]],"MMM")</f>
        <v>out</v>
      </c>
      <c r="O182" s="15" t="str">
        <f>TEXT(bd_Main[[#This Row],[Data]],"AAAA")</f>
        <v>2020</v>
      </c>
    </row>
    <row r="183" spans="1:15" x14ac:dyDescent="0.25">
      <c r="A183" s="7">
        <f t="shared" si="2"/>
        <v>182</v>
      </c>
      <c r="B183" s="2">
        <v>44134</v>
      </c>
      <c r="C183" s="3" t="s">
        <v>95</v>
      </c>
      <c r="D183" s="3" t="s">
        <v>74</v>
      </c>
      <c r="E183" s="3" t="s">
        <v>14</v>
      </c>
      <c r="F183" s="3" t="s">
        <v>80</v>
      </c>
      <c r="G183" s="3">
        <v>1.5</v>
      </c>
      <c r="H183" s="3" t="s">
        <v>29</v>
      </c>
      <c r="I183" s="3" t="s">
        <v>62</v>
      </c>
      <c r="J183" s="3" t="s">
        <v>69</v>
      </c>
      <c r="K183" s="3" t="s">
        <v>16</v>
      </c>
      <c r="L183" s="4">
        <v>4618</v>
      </c>
      <c r="M183" s="15" t="str">
        <f>TEXT(bd_Main[[#This Row],[Data]],"ddd")</f>
        <v>sex</v>
      </c>
      <c r="N183" s="15" t="str">
        <f>TEXT(bd_Main[[#This Row],[Data]],"MMM")</f>
        <v>out</v>
      </c>
      <c r="O183" s="15" t="str">
        <f>TEXT(bd_Main[[#This Row],[Data]],"AAAA")</f>
        <v>2020</v>
      </c>
    </row>
    <row r="184" spans="1:15" x14ac:dyDescent="0.25">
      <c r="A184" s="7">
        <f t="shared" si="2"/>
        <v>183</v>
      </c>
      <c r="B184" s="2">
        <v>44142</v>
      </c>
      <c r="C184" s="3" t="s">
        <v>92</v>
      </c>
      <c r="D184" s="3" t="s">
        <v>74</v>
      </c>
      <c r="E184" s="3" t="s">
        <v>14</v>
      </c>
      <c r="F184" s="3" t="s">
        <v>79</v>
      </c>
      <c r="G184" s="3">
        <v>0</v>
      </c>
      <c r="H184" s="3" t="s">
        <v>18</v>
      </c>
      <c r="I184" s="3" t="s">
        <v>64</v>
      </c>
      <c r="J184" s="3" t="s">
        <v>70</v>
      </c>
      <c r="K184" s="3" t="s">
        <v>28</v>
      </c>
      <c r="L184" s="4">
        <v>3849</v>
      </c>
      <c r="M184" s="15" t="str">
        <f>TEXT(bd_Main[[#This Row],[Data]],"ddd")</f>
        <v>sáb</v>
      </c>
      <c r="N184" s="15" t="str">
        <f>TEXT(bd_Main[[#This Row],[Data]],"MMM")</f>
        <v>nov</v>
      </c>
      <c r="O184" s="15" t="str">
        <f>TEXT(bd_Main[[#This Row],[Data]],"AAAA")</f>
        <v>2020</v>
      </c>
    </row>
    <row r="185" spans="1:15" x14ac:dyDescent="0.25">
      <c r="A185" s="7">
        <f t="shared" si="2"/>
        <v>184</v>
      </c>
      <c r="B185" s="2">
        <v>44146</v>
      </c>
      <c r="C185" s="3" t="s">
        <v>95</v>
      </c>
      <c r="D185" s="3" t="s">
        <v>74</v>
      </c>
      <c r="E185" s="3" t="s">
        <v>17</v>
      </c>
      <c r="F185" s="3" t="s">
        <v>81</v>
      </c>
      <c r="G185" s="3">
        <v>0</v>
      </c>
      <c r="H185" s="3" t="s">
        <v>32</v>
      </c>
      <c r="I185" s="3" t="s">
        <v>64</v>
      </c>
      <c r="J185" s="3" t="s">
        <v>69</v>
      </c>
      <c r="K185" s="3" t="s">
        <v>28</v>
      </c>
      <c r="L185" s="4">
        <v>588</v>
      </c>
      <c r="M185" s="15" t="str">
        <f>TEXT(bd_Main[[#This Row],[Data]],"ddd")</f>
        <v>qua</v>
      </c>
      <c r="N185" s="15" t="str">
        <f>TEXT(bd_Main[[#This Row],[Data]],"MMM")</f>
        <v>nov</v>
      </c>
      <c r="O185" s="15" t="str">
        <f>TEXT(bd_Main[[#This Row],[Data]],"AAAA")</f>
        <v>2020</v>
      </c>
    </row>
    <row r="186" spans="1:15" x14ac:dyDescent="0.25">
      <c r="A186" s="7">
        <f t="shared" si="2"/>
        <v>185</v>
      </c>
      <c r="B186" s="2">
        <v>44147</v>
      </c>
      <c r="C186" s="3" t="s">
        <v>95</v>
      </c>
      <c r="D186" s="3" t="s">
        <v>74</v>
      </c>
      <c r="E186" s="3" t="s">
        <v>17</v>
      </c>
      <c r="F186" s="3" t="s">
        <v>85</v>
      </c>
      <c r="G186" s="3">
        <v>0</v>
      </c>
      <c r="H186" s="3" t="s">
        <v>29</v>
      </c>
      <c r="I186" s="3" t="s">
        <v>61</v>
      </c>
      <c r="J186" s="3" t="s">
        <v>69</v>
      </c>
      <c r="K186" s="3" t="s">
        <v>28</v>
      </c>
      <c r="L186" s="4">
        <v>0</v>
      </c>
      <c r="M186" s="15" t="str">
        <f>TEXT(bd_Main[[#This Row],[Data]],"ddd")</f>
        <v>qui</v>
      </c>
      <c r="N186" s="15" t="str">
        <f>TEXT(bd_Main[[#This Row],[Data]],"MMM")</f>
        <v>nov</v>
      </c>
      <c r="O186" s="15" t="str">
        <f>TEXT(bd_Main[[#This Row],[Data]],"AAAA")</f>
        <v>2020</v>
      </c>
    </row>
    <row r="187" spans="1:15" x14ac:dyDescent="0.25">
      <c r="A187" s="7">
        <f t="shared" si="2"/>
        <v>186</v>
      </c>
      <c r="B187" s="2">
        <v>44150</v>
      </c>
      <c r="C187" s="3" t="s">
        <v>96</v>
      </c>
      <c r="D187" s="3" t="s">
        <v>74</v>
      </c>
      <c r="E187" s="3" t="s">
        <v>14</v>
      </c>
      <c r="F187" s="3" t="s">
        <v>83</v>
      </c>
      <c r="G187" s="3">
        <v>4.5</v>
      </c>
      <c r="H187" s="3" t="s">
        <v>29</v>
      </c>
      <c r="I187" s="3" t="s">
        <v>62</v>
      </c>
      <c r="J187" s="3" t="s">
        <v>71</v>
      </c>
      <c r="K187" s="3" t="s">
        <v>16</v>
      </c>
      <c r="L187" s="4">
        <v>4411</v>
      </c>
      <c r="M187" s="15" t="str">
        <f>TEXT(bd_Main[[#This Row],[Data]],"ddd")</f>
        <v>dom</v>
      </c>
      <c r="N187" s="15" t="str">
        <f>TEXT(bd_Main[[#This Row],[Data]],"MMM")</f>
        <v>nov</v>
      </c>
      <c r="O187" s="15" t="str">
        <f>TEXT(bd_Main[[#This Row],[Data]],"AAAA")</f>
        <v>2020</v>
      </c>
    </row>
    <row r="188" spans="1:15" x14ac:dyDescent="0.25">
      <c r="A188" s="7">
        <f t="shared" si="2"/>
        <v>187</v>
      </c>
      <c r="B188" s="2">
        <v>44151</v>
      </c>
      <c r="C188" s="3" t="s">
        <v>91</v>
      </c>
      <c r="D188" s="3" t="s">
        <v>74</v>
      </c>
      <c r="E188" s="3" t="s">
        <v>20</v>
      </c>
      <c r="F188" s="3" t="s">
        <v>84</v>
      </c>
      <c r="G188" s="3">
        <v>0</v>
      </c>
      <c r="H188" s="3" t="s">
        <v>29</v>
      </c>
      <c r="I188" s="3" t="s">
        <v>61</v>
      </c>
      <c r="J188" s="3" t="s">
        <v>70</v>
      </c>
      <c r="K188" s="3" t="s">
        <v>12</v>
      </c>
      <c r="L188" s="4">
        <v>0</v>
      </c>
      <c r="M188" s="15" t="str">
        <f>TEXT(bd_Main[[#This Row],[Data]],"ddd")</f>
        <v>seg</v>
      </c>
      <c r="N188" s="15" t="str">
        <f>TEXT(bd_Main[[#This Row],[Data]],"MMM")</f>
        <v>nov</v>
      </c>
      <c r="O188" s="15" t="str">
        <f>TEXT(bd_Main[[#This Row],[Data]],"AAAA")</f>
        <v>2020</v>
      </c>
    </row>
    <row r="189" spans="1:15" x14ac:dyDescent="0.25">
      <c r="A189" s="7">
        <f t="shared" si="2"/>
        <v>188</v>
      </c>
      <c r="B189" s="2">
        <v>44153</v>
      </c>
      <c r="C189" s="3" t="s">
        <v>92</v>
      </c>
      <c r="D189" s="3" t="s">
        <v>74</v>
      </c>
      <c r="E189" s="3" t="s">
        <v>20</v>
      </c>
      <c r="F189" s="3" t="s">
        <v>82</v>
      </c>
      <c r="G189" s="3">
        <v>0</v>
      </c>
      <c r="H189" s="3" t="s">
        <v>24</v>
      </c>
      <c r="I189" s="3" t="s">
        <v>61</v>
      </c>
      <c r="J189" s="3" t="s">
        <v>70</v>
      </c>
      <c r="K189" s="3" t="s">
        <v>26</v>
      </c>
      <c r="L189" s="4">
        <v>0</v>
      </c>
      <c r="M189" s="15" t="str">
        <f>TEXT(bd_Main[[#This Row],[Data]],"ddd")</f>
        <v>qua</v>
      </c>
      <c r="N189" s="15" t="str">
        <f>TEXT(bd_Main[[#This Row],[Data]],"MMM")</f>
        <v>nov</v>
      </c>
      <c r="O189" s="15" t="str">
        <f>TEXT(bd_Main[[#This Row],[Data]],"AAAA")</f>
        <v>2020</v>
      </c>
    </row>
    <row r="190" spans="1:15" x14ac:dyDescent="0.25">
      <c r="A190" s="7">
        <f t="shared" si="2"/>
        <v>189</v>
      </c>
      <c r="B190" s="2">
        <v>44154</v>
      </c>
      <c r="C190" s="3" t="s">
        <v>90</v>
      </c>
      <c r="D190" s="3" t="s">
        <v>74</v>
      </c>
      <c r="E190" s="3" t="s">
        <v>14</v>
      </c>
      <c r="F190" s="3" t="s">
        <v>81</v>
      </c>
      <c r="G190" s="3">
        <v>0</v>
      </c>
      <c r="H190" s="3" t="s">
        <v>29</v>
      </c>
      <c r="I190" s="3" t="s">
        <v>63</v>
      </c>
      <c r="J190" s="3" t="s">
        <v>69</v>
      </c>
      <c r="K190" s="3" t="s">
        <v>27</v>
      </c>
      <c r="L190" s="4">
        <v>282</v>
      </c>
      <c r="M190" s="15" t="str">
        <f>TEXT(bd_Main[[#This Row],[Data]],"ddd")</f>
        <v>qui</v>
      </c>
      <c r="N190" s="15" t="str">
        <f>TEXT(bd_Main[[#This Row],[Data]],"MMM")</f>
        <v>nov</v>
      </c>
      <c r="O190" s="15" t="str">
        <f>TEXT(bd_Main[[#This Row],[Data]],"AAAA")</f>
        <v>2020</v>
      </c>
    </row>
    <row r="191" spans="1:15" x14ac:dyDescent="0.25">
      <c r="A191" s="7">
        <f t="shared" si="2"/>
        <v>190</v>
      </c>
      <c r="B191" s="2">
        <v>44155</v>
      </c>
      <c r="C191" s="3" t="s">
        <v>96</v>
      </c>
      <c r="D191" s="3" t="s">
        <v>75</v>
      </c>
      <c r="E191" s="3" t="s">
        <v>14</v>
      </c>
      <c r="F191" s="3" t="s">
        <v>79</v>
      </c>
      <c r="G191" s="3">
        <v>0</v>
      </c>
      <c r="H191" s="3" t="s">
        <v>24</v>
      </c>
      <c r="I191" s="3" t="s">
        <v>63</v>
      </c>
      <c r="J191" s="3" t="s">
        <v>71</v>
      </c>
      <c r="K191" s="3" t="s">
        <v>28</v>
      </c>
      <c r="L191" s="4">
        <v>244</v>
      </c>
      <c r="M191" s="15" t="str">
        <f>TEXT(bd_Main[[#This Row],[Data]],"ddd")</f>
        <v>sex</v>
      </c>
      <c r="N191" s="15" t="str">
        <f>TEXT(bd_Main[[#This Row],[Data]],"MMM")</f>
        <v>nov</v>
      </c>
      <c r="O191" s="15" t="str">
        <f>TEXT(bd_Main[[#This Row],[Data]],"AAAA")</f>
        <v>2020</v>
      </c>
    </row>
    <row r="192" spans="1:15" x14ac:dyDescent="0.25">
      <c r="A192" s="7">
        <f t="shared" si="2"/>
        <v>191</v>
      </c>
      <c r="B192" s="2">
        <v>44157</v>
      </c>
      <c r="C192" s="3" t="s">
        <v>92</v>
      </c>
      <c r="D192" s="3" t="s">
        <v>74</v>
      </c>
      <c r="E192" s="3" t="s">
        <v>14</v>
      </c>
      <c r="F192" s="3" t="s">
        <v>84</v>
      </c>
      <c r="G192" s="3">
        <v>0</v>
      </c>
      <c r="H192" s="3" t="s">
        <v>21</v>
      </c>
      <c r="I192" s="3" t="s">
        <v>63</v>
      </c>
      <c r="J192" s="3" t="s">
        <v>70</v>
      </c>
      <c r="K192" s="3" t="s">
        <v>12</v>
      </c>
      <c r="L192" s="4">
        <v>278</v>
      </c>
      <c r="M192" s="15" t="str">
        <f>TEXT(bd_Main[[#This Row],[Data]],"ddd")</f>
        <v>dom</v>
      </c>
      <c r="N192" s="15" t="str">
        <f>TEXT(bd_Main[[#This Row],[Data]],"MMM")</f>
        <v>nov</v>
      </c>
      <c r="O192" s="15" t="str">
        <f>TEXT(bd_Main[[#This Row],[Data]],"AAAA")</f>
        <v>2020</v>
      </c>
    </row>
    <row r="193" spans="1:15" x14ac:dyDescent="0.25">
      <c r="A193" s="7">
        <f t="shared" si="2"/>
        <v>192</v>
      </c>
      <c r="B193" s="2">
        <v>44157</v>
      </c>
      <c r="C193" s="3" t="s">
        <v>33</v>
      </c>
      <c r="D193" s="3" t="s">
        <v>75</v>
      </c>
      <c r="E193" s="3" t="s">
        <v>10</v>
      </c>
      <c r="F193" s="3" t="s">
        <v>80</v>
      </c>
      <c r="G193" s="3">
        <v>5</v>
      </c>
      <c r="H193" s="3" t="s">
        <v>24</v>
      </c>
      <c r="I193" s="3" t="s">
        <v>62</v>
      </c>
      <c r="J193" s="3" t="s">
        <v>70</v>
      </c>
      <c r="K193" s="3" t="s">
        <v>16</v>
      </c>
      <c r="L193" s="4">
        <v>4879</v>
      </c>
      <c r="M193" s="15" t="str">
        <f>TEXT(bd_Main[[#This Row],[Data]],"ddd")</f>
        <v>dom</v>
      </c>
      <c r="N193" s="15" t="str">
        <f>TEXT(bd_Main[[#This Row],[Data]],"MMM")</f>
        <v>nov</v>
      </c>
      <c r="O193" s="15" t="str">
        <f>TEXT(bd_Main[[#This Row],[Data]],"AAAA")</f>
        <v>2020</v>
      </c>
    </row>
    <row r="194" spans="1:15" x14ac:dyDescent="0.25">
      <c r="A194" s="7">
        <f t="shared" ref="A194:A257" si="3">ROW(A194)-1</f>
        <v>193</v>
      </c>
      <c r="B194" s="2">
        <v>44159</v>
      </c>
      <c r="C194" s="3" t="s">
        <v>96</v>
      </c>
      <c r="D194" s="3" t="s">
        <v>75</v>
      </c>
      <c r="E194" s="3" t="s">
        <v>17</v>
      </c>
      <c r="F194" s="3" t="s">
        <v>87</v>
      </c>
      <c r="G194" s="3">
        <v>0</v>
      </c>
      <c r="H194" s="3" t="s">
        <v>32</v>
      </c>
      <c r="I194" s="3" t="s">
        <v>63</v>
      </c>
      <c r="J194" s="3" t="s">
        <v>71</v>
      </c>
      <c r="K194" s="3" t="s">
        <v>26</v>
      </c>
      <c r="L194" s="4">
        <v>414</v>
      </c>
      <c r="M194" s="15" t="str">
        <f>TEXT(bd_Main[[#This Row],[Data]],"ddd")</f>
        <v>ter</v>
      </c>
      <c r="N194" s="15" t="str">
        <f>TEXT(bd_Main[[#This Row],[Data]],"MMM")</f>
        <v>nov</v>
      </c>
      <c r="O194" s="15" t="str">
        <f>TEXT(bd_Main[[#This Row],[Data]],"AAAA")</f>
        <v>2020</v>
      </c>
    </row>
    <row r="195" spans="1:15" x14ac:dyDescent="0.25">
      <c r="A195" s="7">
        <f t="shared" si="3"/>
        <v>194</v>
      </c>
      <c r="B195" s="2">
        <v>44160</v>
      </c>
      <c r="C195" s="3" t="s">
        <v>33</v>
      </c>
      <c r="D195" s="3" t="s">
        <v>75</v>
      </c>
      <c r="E195" s="3" t="s">
        <v>10</v>
      </c>
      <c r="F195" s="3" t="s">
        <v>79</v>
      </c>
      <c r="G195" s="3">
        <v>5</v>
      </c>
      <c r="H195" s="3" t="s">
        <v>30</v>
      </c>
      <c r="I195" s="3" t="s">
        <v>62</v>
      </c>
      <c r="J195" s="3" t="s">
        <v>70</v>
      </c>
      <c r="K195" s="3" t="s">
        <v>27</v>
      </c>
      <c r="L195" s="4">
        <v>2569</v>
      </c>
      <c r="M195" s="15" t="str">
        <f>TEXT(bd_Main[[#This Row],[Data]],"ddd")</f>
        <v>qua</v>
      </c>
      <c r="N195" s="15" t="str">
        <f>TEXT(bd_Main[[#This Row],[Data]],"MMM")</f>
        <v>nov</v>
      </c>
      <c r="O195" s="15" t="str">
        <f>TEXT(bd_Main[[#This Row],[Data]],"AAAA")</f>
        <v>2020</v>
      </c>
    </row>
    <row r="196" spans="1:15" x14ac:dyDescent="0.25">
      <c r="A196" s="7">
        <f t="shared" si="3"/>
        <v>195</v>
      </c>
      <c r="B196" s="2">
        <v>44164</v>
      </c>
      <c r="C196" s="3" t="s">
        <v>33</v>
      </c>
      <c r="D196" s="3" t="s">
        <v>74</v>
      </c>
      <c r="E196" s="3" t="s">
        <v>14</v>
      </c>
      <c r="F196" s="3" t="s">
        <v>85</v>
      </c>
      <c r="G196" s="3">
        <v>0</v>
      </c>
      <c r="H196" s="3" t="s">
        <v>30</v>
      </c>
      <c r="I196" s="3" t="s">
        <v>61</v>
      </c>
      <c r="J196" s="3" t="s">
        <v>70</v>
      </c>
      <c r="K196" s="3" t="s">
        <v>22</v>
      </c>
      <c r="L196" s="4">
        <v>0</v>
      </c>
      <c r="M196" s="15" t="str">
        <f>TEXT(bd_Main[[#This Row],[Data]],"ddd")</f>
        <v>dom</v>
      </c>
      <c r="N196" s="15" t="str">
        <f>TEXT(bd_Main[[#This Row],[Data]],"MMM")</f>
        <v>nov</v>
      </c>
      <c r="O196" s="15" t="str">
        <f>TEXT(bd_Main[[#This Row],[Data]],"AAAA")</f>
        <v>2020</v>
      </c>
    </row>
    <row r="197" spans="1:15" x14ac:dyDescent="0.25">
      <c r="A197" s="7">
        <f t="shared" si="3"/>
        <v>196</v>
      </c>
      <c r="B197" s="2">
        <v>44165</v>
      </c>
      <c r="C197" s="3" t="s">
        <v>94</v>
      </c>
      <c r="D197" s="3" t="s">
        <v>74</v>
      </c>
      <c r="E197" s="3" t="s">
        <v>10</v>
      </c>
      <c r="F197" s="3" t="s">
        <v>82</v>
      </c>
      <c r="G197" s="3">
        <v>0</v>
      </c>
      <c r="H197" s="3" t="s">
        <v>25</v>
      </c>
      <c r="I197" s="3" t="s">
        <v>64</v>
      </c>
      <c r="J197" s="3" t="s">
        <v>70</v>
      </c>
      <c r="K197" s="3" t="s">
        <v>12</v>
      </c>
      <c r="L197" s="4">
        <v>4685</v>
      </c>
      <c r="M197" s="15" t="str">
        <f>TEXT(bd_Main[[#This Row],[Data]],"ddd")</f>
        <v>seg</v>
      </c>
      <c r="N197" s="15" t="str">
        <f>TEXT(bd_Main[[#This Row],[Data]],"MMM")</f>
        <v>nov</v>
      </c>
      <c r="O197" s="15" t="str">
        <f>TEXT(bd_Main[[#This Row],[Data]],"AAAA")</f>
        <v>2020</v>
      </c>
    </row>
    <row r="198" spans="1:15" x14ac:dyDescent="0.25">
      <c r="A198" s="7">
        <f t="shared" si="3"/>
        <v>197</v>
      </c>
      <c r="B198" s="2">
        <v>44165</v>
      </c>
      <c r="C198" s="3" t="s">
        <v>13</v>
      </c>
      <c r="D198" s="3" t="s">
        <v>74</v>
      </c>
      <c r="E198" s="3" t="s">
        <v>10</v>
      </c>
      <c r="F198" s="3" t="s">
        <v>79</v>
      </c>
      <c r="G198" s="3">
        <v>0</v>
      </c>
      <c r="H198" s="3" t="s">
        <v>11</v>
      </c>
      <c r="I198" s="3" t="s">
        <v>64</v>
      </c>
      <c r="J198" s="3" t="s">
        <v>70</v>
      </c>
      <c r="K198" s="3" t="s">
        <v>31</v>
      </c>
      <c r="L198" s="4">
        <v>1222</v>
      </c>
      <c r="M198" s="15" t="str">
        <f>TEXT(bd_Main[[#This Row],[Data]],"ddd")</f>
        <v>seg</v>
      </c>
      <c r="N198" s="15" t="str">
        <f>TEXT(bd_Main[[#This Row],[Data]],"MMM")</f>
        <v>nov</v>
      </c>
      <c r="O198" s="15" t="str">
        <f>TEXT(bd_Main[[#This Row],[Data]],"AAAA")</f>
        <v>2020</v>
      </c>
    </row>
    <row r="199" spans="1:15" x14ac:dyDescent="0.25">
      <c r="A199" s="7">
        <f t="shared" si="3"/>
        <v>198</v>
      </c>
      <c r="B199" s="2">
        <v>44166</v>
      </c>
      <c r="C199" s="3" t="s">
        <v>90</v>
      </c>
      <c r="D199" s="3" t="s">
        <v>74</v>
      </c>
      <c r="E199" s="3" t="s">
        <v>10</v>
      </c>
      <c r="F199" s="3" t="s">
        <v>84</v>
      </c>
      <c r="G199" s="3">
        <v>3.5</v>
      </c>
      <c r="H199" s="3" t="s">
        <v>21</v>
      </c>
      <c r="I199" s="3" t="s">
        <v>62</v>
      </c>
      <c r="J199" s="3" t="s">
        <v>71</v>
      </c>
      <c r="K199" s="3" t="s">
        <v>27</v>
      </c>
      <c r="L199" s="4">
        <v>1806</v>
      </c>
      <c r="M199" s="15" t="str">
        <f>TEXT(bd_Main[[#This Row],[Data]],"ddd")</f>
        <v>ter</v>
      </c>
      <c r="N199" s="15" t="str">
        <f>TEXT(bd_Main[[#This Row],[Data]],"MMM")</f>
        <v>dez</v>
      </c>
      <c r="O199" s="15" t="str">
        <f>TEXT(bd_Main[[#This Row],[Data]],"AAAA")</f>
        <v>2020</v>
      </c>
    </row>
    <row r="200" spans="1:15" x14ac:dyDescent="0.25">
      <c r="A200" s="7">
        <f t="shared" si="3"/>
        <v>199</v>
      </c>
      <c r="B200" s="2">
        <v>44168</v>
      </c>
      <c r="C200" s="3" t="s">
        <v>94</v>
      </c>
      <c r="D200" s="3" t="s">
        <v>74</v>
      </c>
      <c r="E200" s="3" t="s">
        <v>20</v>
      </c>
      <c r="F200" s="3" t="s">
        <v>83</v>
      </c>
      <c r="G200" s="3">
        <v>0</v>
      </c>
      <c r="H200" s="3" t="s">
        <v>24</v>
      </c>
      <c r="I200" s="3" t="s">
        <v>61</v>
      </c>
      <c r="J200" s="3" t="s">
        <v>70</v>
      </c>
      <c r="K200" s="3" t="s">
        <v>23</v>
      </c>
      <c r="L200" s="4">
        <v>0</v>
      </c>
      <c r="M200" s="15" t="str">
        <f>TEXT(bd_Main[[#This Row],[Data]],"ddd")</f>
        <v>qui</v>
      </c>
      <c r="N200" s="15" t="str">
        <f>TEXT(bd_Main[[#This Row],[Data]],"MMM")</f>
        <v>dez</v>
      </c>
      <c r="O200" s="15" t="str">
        <f>TEXT(bd_Main[[#This Row],[Data]],"AAAA")</f>
        <v>2020</v>
      </c>
    </row>
    <row r="201" spans="1:15" x14ac:dyDescent="0.25">
      <c r="A201" s="7">
        <f t="shared" si="3"/>
        <v>200</v>
      </c>
      <c r="B201" s="2">
        <v>44169</v>
      </c>
      <c r="C201" s="3" t="s">
        <v>95</v>
      </c>
      <c r="D201" s="3" t="s">
        <v>75</v>
      </c>
      <c r="E201" s="3" t="s">
        <v>10</v>
      </c>
      <c r="F201" s="3" t="s">
        <v>79</v>
      </c>
      <c r="G201" s="3">
        <v>1</v>
      </c>
      <c r="H201" s="3" t="s">
        <v>18</v>
      </c>
      <c r="I201" s="3" t="s">
        <v>62</v>
      </c>
      <c r="J201" s="3" t="s">
        <v>69</v>
      </c>
      <c r="K201" s="3" t="s">
        <v>26</v>
      </c>
      <c r="L201" s="4">
        <v>2877</v>
      </c>
      <c r="M201" s="15" t="str">
        <f>TEXT(bd_Main[[#This Row],[Data]],"ddd")</f>
        <v>sex</v>
      </c>
      <c r="N201" s="15" t="str">
        <f>TEXT(bd_Main[[#This Row],[Data]],"MMM")</f>
        <v>dez</v>
      </c>
      <c r="O201" s="15" t="str">
        <f>TEXT(bd_Main[[#This Row],[Data]],"AAAA")</f>
        <v>2020</v>
      </c>
    </row>
    <row r="202" spans="1:15" x14ac:dyDescent="0.25">
      <c r="A202" s="7">
        <f t="shared" si="3"/>
        <v>201</v>
      </c>
      <c r="B202" s="2">
        <v>44169</v>
      </c>
      <c r="C202" s="3" t="s">
        <v>13</v>
      </c>
      <c r="D202" s="3" t="s">
        <v>74</v>
      </c>
      <c r="E202" s="3" t="s">
        <v>10</v>
      </c>
      <c r="F202" s="3" t="s">
        <v>85</v>
      </c>
      <c r="G202" s="3">
        <v>0</v>
      </c>
      <c r="H202" s="3" t="s">
        <v>21</v>
      </c>
      <c r="I202" s="3" t="s">
        <v>64</v>
      </c>
      <c r="J202" s="3" t="s">
        <v>69</v>
      </c>
      <c r="K202" s="3" t="s">
        <v>26</v>
      </c>
      <c r="L202" s="4">
        <v>1710</v>
      </c>
      <c r="M202" s="15" t="str">
        <f>TEXT(bd_Main[[#This Row],[Data]],"ddd")</f>
        <v>sex</v>
      </c>
      <c r="N202" s="15" t="str">
        <f>TEXT(bd_Main[[#This Row],[Data]],"MMM")</f>
        <v>dez</v>
      </c>
      <c r="O202" s="15" t="str">
        <f>TEXT(bd_Main[[#This Row],[Data]],"AAAA")</f>
        <v>2020</v>
      </c>
    </row>
    <row r="203" spans="1:15" x14ac:dyDescent="0.25">
      <c r="A203" s="7">
        <f t="shared" si="3"/>
        <v>202</v>
      </c>
      <c r="B203" s="2">
        <v>44169</v>
      </c>
      <c r="C203" s="3" t="s">
        <v>95</v>
      </c>
      <c r="D203" s="3" t="s">
        <v>74</v>
      </c>
      <c r="E203" s="3" t="s">
        <v>10</v>
      </c>
      <c r="F203" s="3" t="s">
        <v>81</v>
      </c>
      <c r="G203" s="3">
        <v>0</v>
      </c>
      <c r="H203" s="3" t="s">
        <v>29</v>
      </c>
      <c r="I203" s="3" t="s">
        <v>61</v>
      </c>
      <c r="J203" s="3" t="s">
        <v>69</v>
      </c>
      <c r="K203" s="3" t="s">
        <v>16</v>
      </c>
      <c r="L203" s="4">
        <v>0</v>
      </c>
      <c r="M203" s="15" t="str">
        <f>TEXT(bd_Main[[#This Row],[Data]],"ddd")</f>
        <v>sex</v>
      </c>
      <c r="N203" s="15" t="str">
        <f>TEXT(bd_Main[[#This Row],[Data]],"MMM")</f>
        <v>dez</v>
      </c>
      <c r="O203" s="15" t="str">
        <f>TEXT(bd_Main[[#This Row],[Data]],"AAAA")</f>
        <v>2020</v>
      </c>
    </row>
    <row r="204" spans="1:15" x14ac:dyDescent="0.25">
      <c r="A204" s="7">
        <f t="shared" si="3"/>
        <v>203</v>
      </c>
      <c r="B204" s="2">
        <v>44171</v>
      </c>
      <c r="C204" s="3" t="s">
        <v>93</v>
      </c>
      <c r="D204" s="3" t="s">
        <v>74</v>
      </c>
      <c r="E204" s="3" t="s">
        <v>17</v>
      </c>
      <c r="F204" s="3" t="s">
        <v>80</v>
      </c>
      <c r="G204" s="3">
        <v>2.5</v>
      </c>
      <c r="H204" s="3" t="s">
        <v>24</v>
      </c>
      <c r="I204" s="3" t="s">
        <v>62</v>
      </c>
      <c r="J204" s="3" t="s">
        <v>69</v>
      </c>
      <c r="K204" s="3" t="s">
        <v>27</v>
      </c>
      <c r="L204" s="4">
        <v>903</v>
      </c>
      <c r="M204" s="15" t="str">
        <f>TEXT(bd_Main[[#This Row],[Data]],"ddd")</f>
        <v>dom</v>
      </c>
      <c r="N204" s="15" t="str">
        <f>TEXT(bd_Main[[#This Row],[Data]],"MMM")</f>
        <v>dez</v>
      </c>
      <c r="O204" s="15" t="str">
        <f>TEXT(bd_Main[[#This Row],[Data]],"AAAA")</f>
        <v>2020</v>
      </c>
    </row>
    <row r="205" spans="1:15" x14ac:dyDescent="0.25">
      <c r="A205" s="7">
        <f t="shared" si="3"/>
        <v>204</v>
      </c>
      <c r="B205" s="2">
        <v>44173</v>
      </c>
      <c r="C205" s="3" t="s">
        <v>94</v>
      </c>
      <c r="D205" s="3" t="s">
        <v>74</v>
      </c>
      <c r="E205" s="3" t="s">
        <v>17</v>
      </c>
      <c r="F205" s="3" t="s">
        <v>79</v>
      </c>
      <c r="G205" s="3">
        <v>0</v>
      </c>
      <c r="H205" s="3" t="s">
        <v>25</v>
      </c>
      <c r="I205" s="3" t="s">
        <v>63</v>
      </c>
      <c r="J205" s="3" t="s">
        <v>69</v>
      </c>
      <c r="K205" s="3" t="s">
        <v>12</v>
      </c>
      <c r="L205" s="4">
        <v>115</v>
      </c>
      <c r="M205" s="15" t="str">
        <f>TEXT(bd_Main[[#This Row],[Data]],"ddd")</f>
        <v>ter</v>
      </c>
      <c r="N205" s="15" t="str">
        <f>TEXT(bd_Main[[#This Row],[Data]],"MMM")</f>
        <v>dez</v>
      </c>
      <c r="O205" s="15" t="str">
        <f>TEXT(bd_Main[[#This Row],[Data]],"AAAA")</f>
        <v>2020</v>
      </c>
    </row>
    <row r="206" spans="1:15" x14ac:dyDescent="0.25">
      <c r="A206" s="7">
        <f t="shared" si="3"/>
        <v>205</v>
      </c>
      <c r="B206" s="2">
        <v>44173</v>
      </c>
      <c r="C206" s="3" t="s">
        <v>93</v>
      </c>
      <c r="D206" s="3" t="s">
        <v>74</v>
      </c>
      <c r="E206" s="3" t="s">
        <v>20</v>
      </c>
      <c r="F206" s="3" t="s">
        <v>83</v>
      </c>
      <c r="G206" s="3">
        <v>0</v>
      </c>
      <c r="H206" s="3" t="s">
        <v>18</v>
      </c>
      <c r="I206" s="3" t="s">
        <v>64</v>
      </c>
      <c r="J206" s="3" t="s">
        <v>70</v>
      </c>
      <c r="K206" s="3" t="s">
        <v>27</v>
      </c>
      <c r="L206" s="4">
        <v>1168</v>
      </c>
      <c r="M206" s="15" t="str">
        <f>TEXT(bd_Main[[#This Row],[Data]],"ddd")</f>
        <v>ter</v>
      </c>
      <c r="N206" s="15" t="str">
        <f>TEXT(bd_Main[[#This Row],[Data]],"MMM")</f>
        <v>dez</v>
      </c>
      <c r="O206" s="15" t="str">
        <f>TEXT(bd_Main[[#This Row],[Data]],"AAAA")</f>
        <v>2020</v>
      </c>
    </row>
    <row r="207" spans="1:15" x14ac:dyDescent="0.25">
      <c r="A207" s="7">
        <f t="shared" si="3"/>
        <v>206</v>
      </c>
      <c r="B207" s="2">
        <v>44174</v>
      </c>
      <c r="C207" s="3" t="s">
        <v>96</v>
      </c>
      <c r="D207" s="3" t="s">
        <v>74</v>
      </c>
      <c r="E207" s="3" t="s">
        <v>17</v>
      </c>
      <c r="F207" s="3" t="s">
        <v>83</v>
      </c>
      <c r="G207" s="3">
        <v>5</v>
      </c>
      <c r="H207" s="3" t="s">
        <v>29</v>
      </c>
      <c r="I207" s="3" t="s">
        <v>62</v>
      </c>
      <c r="J207" s="3" t="s">
        <v>71</v>
      </c>
      <c r="K207" s="3" t="s">
        <v>31</v>
      </c>
      <c r="L207" s="4">
        <v>2479</v>
      </c>
      <c r="M207" s="15" t="str">
        <f>TEXT(bd_Main[[#This Row],[Data]],"ddd")</f>
        <v>qua</v>
      </c>
      <c r="N207" s="15" t="str">
        <f>TEXT(bd_Main[[#This Row],[Data]],"MMM")</f>
        <v>dez</v>
      </c>
      <c r="O207" s="15" t="str">
        <f>TEXT(bd_Main[[#This Row],[Data]],"AAAA")</f>
        <v>2020</v>
      </c>
    </row>
    <row r="208" spans="1:15" x14ac:dyDescent="0.25">
      <c r="A208" s="7">
        <f t="shared" si="3"/>
        <v>207</v>
      </c>
      <c r="B208" s="2">
        <v>44175</v>
      </c>
      <c r="C208" s="3" t="s">
        <v>92</v>
      </c>
      <c r="D208" s="3" t="s">
        <v>74</v>
      </c>
      <c r="E208" s="3" t="s">
        <v>17</v>
      </c>
      <c r="F208" s="3" t="s">
        <v>81</v>
      </c>
      <c r="G208" s="3">
        <v>0</v>
      </c>
      <c r="H208" s="3" t="s">
        <v>21</v>
      </c>
      <c r="I208" s="3" t="s">
        <v>61</v>
      </c>
      <c r="J208" s="3" t="s">
        <v>70</v>
      </c>
      <c r="K208" s="3" t="s">
        <v>12</v>
      </c>
      <c r="L208" s="4">
        <v>0</v>
      </c>
      <c r="M208" s="15" t="str">
        <f>TEXT(bd_Main[[#This Row],[Data]],"ddd")</f>
        <v>qui</v>
      </c>
      <c r="N208" s="15" t="str">
        <f>TEXT(bd_Main[[#This Row],[Data]],"MMM")</f>
        <v>dez</v>
      </c>
      <c r="O208" s="15" t="str">
        <f>TEXT(bd_Main[[#This Row],[Data]],"AAAA")</f>
        <v>2020</v>
      </c>
    </row>
    <row r="209" spans="1:15" x14ac:dyDescent="0.25">
      <c r="A209" s="7">
        <f t="shared" si="3"/>
        <v>208</v>
      </c>
      <c r="B209" s="2">
        <v>44176</v>
      </c>
      <c r="C209" s="3" t="s">
        <v>94</v>
      </c>
      <c r="D209" s="3" t="s">
        <v>74</v>
      </c>
      <c r="E209" s="3" t="s">
        <v>17</v>
      </c>
      <c r="F209" s="3" t="s">
        <v>84</v>
      </c>
      <c r="G209" s="3">
        <v>0</v>
      </c>
      <c r="H209" s="3" t="s">
        <v>25</v>
      </c>
      <c r="I209" s="3" t="s">
        <v>63</v>
      </c>
      <c r="J209" s="3" t="s">
        <v>69</v>
      </c>
      <c r="K209" s="3" t="s">
        <v>27</v>
      </c>
      <c r="L209" s="4">
        <v>361</v>
      </c>
      <c r="M209" s="15" t="str">
        <f>TEXT(bd_Main[[#This Row],[Data]],"ddd")</f>
        <v>sex</v>
      </c>
      <c r="N209" s="15" t="str">
        <f>TEXT(bd_Main[[#This Row],[Data]],"MMM")</f>
        <v>dez</v>
      </c>
      <c r="O209" s="15" t="str">
        <f>TEXT(bd_Main[[#This Row],[Data]],"AAAA")</f>
        <v>2020</v>
      </c>
    </row>
    <row r="210" spans="1:15" x14ac:dyDescent="0.25">
      <c r="A210" s="7">
        <f t="shared" si="3"/>
        <v>209</v>
      </c>
      <c r="B210" s="2">
        <v>44177</v>
      </c>
      <c r="C210" s="3" t="s">
        <v>33</v>
      </c>
      <c r="D210" s="3" t="s">
        <v>74</v>
      </c>
      <c r="E210" s="3" t="s">
        <v>20</v>
      </c>
      <c r="F210" s="3" t="s">
        <v>83</v>
      </c>
      <c r="G210" s="3">
        <v>0</v>
      </c>
      <c r="H210" s="3" t="s">
        <v>11</v>
      </c>
      <c r="I210" s="3" t="s">
        <v>64</v>
      </c>
      <c r="J210" s="3" t="s">
        <v>69</v>
      </c>
      <c r="K210" s="3" t="s">
        <v>26</v>
      </c>
      <c r="L210" s="4">
        <v>4176</v>
      </c>
      <c r="M210" s="15" t="str">
        <f>TEXT(bd_Main[[#This Row],[Data]],"ddd")</f>
        <v>sáb</v>
      </c>
      <c r="N210" s="15" t="str">
        <f>TEXT(bd_Main[[#This Row],[Data]],"MMM")</f>
        <v>dez</v>
      </c>
      <c r="O210" s="15" t="str">
        <f>TEXT(bd_Main[[#This Row],[Data]],"AAAA")</f>
        <v>2020</v>
      </c>
    </row>
    <row r="211" spans="1:15" x14ac:dyDescent="0.25">
      <c r="A211" s="7">
        <f t="shared" si="3"/>
        <v>210</v>
      </c>
      <c r="B211" s="2">
        <v>44181</v>
      </c>
      <c r="C211" s="3" t="s">
        <v>93</v>
      </c>
      <c r="D211" s="3" t="s">
        <v>74</v>
      </c>
      <c r="E211" s="3" t="s">
        <v>14</v>
      </c>
      <c r="F211" s="3" t="s">
        <v>79</v>
      </c>
      <c r="G211" s="3">
        <v>3</v>
      </c>
      <c r="H211" s="3" t="s">
        <v>30</v>
      </c>
      <c r="I211" s="3" t="s">
        <v>62</v>
      </c>
      <c r="J211" s="3" t="s">
        <v>69</v>
      </c>
      <c r="K211" s="3" t="s">
        <v>22</v>
      </c>
      <c r="L211" s="4">
        <v>3846</v>
      </c>
      <c r="M211" s="15" t="str">
        <f>TEXT(bd_Main[[#This Row],[Data]],"ddd")</f>
        <v>qua</v>
      </c>
      <c r="N211" s="15" t="str">
        <f>TEXT(bd_Main[[#This Row],[Data]],"MMM")</f>
        <v>dez</v>
      </c>
      <c r="O211" s="15" t="str">
        <f>TEXT(bd_Main[[#This Row],[Data]],"AAAA")</f>
        <v>2020</v>
      </c>
    </row>
    <row r="212" spans="1:15" x14ac:dyDescent="0.25">
      <c r="A212" s="7">
        <f t="shared" si="3"/>
        <v>211</v>
      </c>
      <c r="B212" s="2">
        <v>44183</v>
      </c>
      <c r="C212" s="3" t="s">
        <v>33</v>
      </c>
      <c r="D212" s="3" t="s">
        <v>74</v>
      </c>
      <c r="E212" s="3" t="s">
        <v>14</v>
      </c>
      <c r="F212" s="3" t="s">
        <v>86</v>
      </c>
      <c r="G212" s="3">
        <v>0</v>
      </c>
      <c r="H212" s="3" t="s">
        <v>15</v>
      </c>
      <c r="I212" s="3" t="s">
        <v>64</v>
      </c>
      <c r="J212" s="3" t="s">
        <v>69</v>
      </c>
      <c r="K212" s="3" t="s">
        <v>31</v>
      </c>
      <c r="L212" s="4">
        <v>4288</v>
      </c>
      <c r="M212" s="15" t="str">
        <f>TEXT(bd_Main[[#This Row],[Data]],"ddd")</f>
        <v>sex</v>
      </c>
      <c r="N212" s="15" t="str">
        <f>TEXT(bd_Main[[#This Row],[Data]],"MMM")</f>
        <v>dez</v>
      </c>
      <c r="O212" s="15" t="str">
        <f>TEXT(bd_Main[[#This Row],[Data]],"AAAA")</f>
        <v>2020</v>
      </c>
    </row>
    <row r="213" spans="1:15" x14ac:dyDescent="0.25">
      <c r="A213" s="7">
        <f t="shared" si="3"/>
        <v>212</v>
      </c>
      <c r="B213" s="2">
        <v>44188</v>
      </c>
      <c r="C213" s="3" t="s">
        <v>96</v>
      </c>
      <c r="D213" s="3" t="s">
        <v>74</v>
      </c>
      <c r="E213" s="3" t="s">
        <v>10</v>
      </c>
      <c r="F213" s="3" t="s">
        <v>81</v>
      </c>
      <c r="G213" s="3">
        <v>2.5</v>
      </c>
      <c r="H213" s="3" t="s">
        <v>32</v>
      </c>
      <c r="I213" s="3" t="s">
        <v>62</v>
      </c>
      <c r="J213" s="3" t="s">
        <v>71</v>
      </c>
      <c r="K213" s="3" t="s">
        <v>22</v>
      </c>
      <c r="L213" s="4">
        <v>3734</v>
      </c>
      <c r="M213" s="15" t="str">
        <f>TEXT(bd_Main[[#This Row],[Data]],"ddd")</f>
        <v>qua</v>
      </c>
      <c r="N213" s="15" t="str">
        <f>TEXT(bd_Main[[#This Row],[Data]],"MMM")</f>
        <v>dez</v>
      </c>
      <c r="O213" s="15" t="str">
        <f>TEXT(bd_Main[[#This Row],[Data]],"AAAA")</f>
        <v>2020</v>
      </c>
    </row>
    <row r="214" spans="1:15" x14ac:dyDescent="0.25">
      <c r="A214" s="7">
        <f t="shared" si="3"/>
        <v>213</v>
      </c>
      <c r="B214" s="2">
        <v>44188</v>
      </c>
      <c r="C214" s="3" t="s">
        <v>92</v>
      </c>
      <c r="D214" s="3" t="s">
        <v>74</v>
      </c>
      <c r="E214" s="3" t="s">
        <v>17</v>
      </c>
      <c r="F214" s="3" t="s">
        <v>80</v>
      </c>
      <c r="G214" s="3">
        <v>0</v>
      </c>
      <c r="H214" s="3" t="s">
        <v>21</v>
      </c>
      <c r="I214" s="3" t="s">
        <v>61</v>
      </c>
      <c r="J214" s="3" t="s">
        <v>69</v>
      </c>
      <c r="K214" s="3" t="s">
        <v>12</v>
      </c>
      <c r="L214" s="4">
        <v>0</v>
      </c>
      <c r="M214" s="15" t="str">
        <f>TEXT(bd_Main[[#This Row],[Data]],"ddd")</f>
        <v>qua</v>
      </c>
      <c r="N214" s="15" t="str">
        <f>TEXT(bd_Main[[#This Row],[Data]],"MMM")</f>
        <v>dez</v>
      </c>
      <c r="O214" s="15" t="str">
        <f>TEXT(bd_Main[[#This Row],[Data]],"AAAA")</f>
        <v>2020</v>
      </c>
    </row>
    <row r="215" spans="1:15" x14ac:dyDescent="0.25">
      <c r="A215" s="7">
        <f t="shared" si="3"/>
        <v>214</v>
      </c>
      <c r="B215" s="2">
        <v>44189</v>
      </c>
      <c r="C215" s="3" t="s">
        <v>95</v>
      </c>
      <c r="D215" s="3" t="s">
        <v>74</v>
      </c>
      <c r="E215" s="3" t="s">
        <v>10</v>
      </c>
      <c r="F215" s="3" t="s">
        <v>81</v>
      </c>
      <c r="G215" s="3">
        <v>0</v>
      </c>
      <c r="H215" s="3" t="s">
        <v>32</v>
      </c>
      <c r="I215" s="3" t="s">
        <v>61</v>
      </c>
      <c r="J215" s="3" t="s">
        <v>71</v>
      </c>
      <c r="K215" s="3" t="s">
        <v>28</v>
      </c>
      <c r="L215" s="4">
        <v>0</v>
      </c>
      <c r="M215" s="15" t="str">
        <f>TEXT(bd_Main[[#This Row],[Data]],"ddd")</f>
        <v>qui</v>
      </c>
      <c r="N215" s="15" t="str">
        <f>TEXT(bd_Main[[#This Row],[Data]],"MMM")</f>
        <v>dez</v>
      </c>
      <c r="O215" s="15" t="str">
        <f>TEXT(bd_Main[[#This Row],[Data]],"AAAA")</f>
        <v>2020</v>
      </c>
    </row>
    <row r="216" spans="1:15" x14ac:dyDescent="0.25">
      <c r="A216" s="7">
        <f t="shared" si="3"/>
        <v>215</v>
      </c>
      <c r="B216" s="2">
        <v>44190</v>
      </c>
      <c r="C216" s="3" t="s">
        <v>96</v>
      </c>
      <c r="D216" s="3" t="s">
        <v>74</v>
      </c>
      <c r="E216" s="3" t="s">
        <v>14</v>
      </c>
      <c r="F216" s="3" t="s">
        <v>85</v>
      </c>
      <c r="G216" s="3">
        <v>2.5</v>
      </c>
      <c r="H216" s="3" t="s">
        <v>32</v>
      </c>
      <c r="I216" s="3" t="s">
        <v>62</v>
      </c>
      <c r="J216" s="3" t="s">
        <v>69</v>
      </c>
      <c r="K216" s="3" t="s">
        <v>16</v>
      </c>
      <c r="L216" s="4">
        <v>1486</v>
      </c>
      <c r="M216" s="15" t="str">
        <f>TEXT(bd_Main[[#This Row],[Data]],"ddd")</f>
        <v>sex</v>
      </c>
      <c r="N216" s="15" t="str">
        <f>TEXT(bd_Main[[#This Row],[Data]],"MMM")</f>
        <v>dez</v>
      </c>
      <c r="O216" s="15" t="str">
        <f>TEXT(bd_Main[[#This Row],[Data]],"AAAA")</f>
        <v>2020</v>
      </c>
    </row>
    <row r="217" spans="1:15" x14ac:dyDescent="0.25">
      <c r="A217" s="7">
        <f t="shared" si="3"/>
        <v>216</v>
      </c>
      <c r="B217" s="2">
        <v>44190</v>
      </c>
      <c r="C217" s="3" t="s">
        <v>90</v>
      </c>
      <c r="D217" s="3" t="s">
        <v>74</v>
      </c>
      <c r="E217" s="3" t="s">
        <v>10</v>
      </c>
      <c r="F217" s="3" t="s">
        <v>81</v>
      </c>
      <c r="G217" s="3">
        <v>0</v>
      </c>
      <c r="H217" s="3" t="s">
        <v>15</v>
      </c>
      <c r="I217" s="3" t="s">
        <v>61</v>
      </c>
      <c r="J217" s="3" t="s">
        <v>71</v>
      </c>
      <c r="K217" s="3" t="s">
        <v>22</v>
      </c>
      <c r="L217" s="4">
        <v>0</v>
      </c>
      <c r="M217" s="15" t="str">
        <f>TEXT(bd_Main[[#This Row],[Data]],"ddd")</f>
        <v>sex</v>
      </c>
      <c r="N217" s="15" t="str">
        <f>TEXT(bd_Main[[#This Row],[Data]],"MMM")</f>
        <v>dez</v>
      </c>
      <c r="O217" s="15" t="str">
        <f>TEXT(bd_Main[[#This Row],[Data]],"AAAA")</f>
        <v>2020</v>
      </c>
    </row>
    <row r="218" spans="1:15" x14ac:dyDescent="0.25">
      <c r="A218" s="7">
        <f t="shared" si="3"/>
        <v>217</v>
      </c>
      <c r="B218" s="2">
        <v>44192</v>
      </c>
      <c r="C218" s="3" t="s">
        <v>94</v>
      </c>
      <c r="D218" s="3" t="s">
        <v>74</v>
      </c>
      <c r="E218" s="3" t="s">
        <v>10</v>
      </c>
      <c r="F218" s="3" t="s">
        <v>80</v>
      </c>
      <c r="G218" s="3">
        <v>0</v>
      </c>
      <c r="H218" s="3" t="s">
        <v>18</v>
      </c>
      <c r="I218" s="3" t="s">
        <v>64</v>
      </c>
      <c r="J218" s="3" t="s">
        <v>70</v>
      </c>
      <c r="K218" s="3" t="s">
        <v>22</v>
      </c>
      <c r="L218" s="4">
        <v>733</v>
      </c>
      <c r="M218" s="15" t="str">
        <f>TEXT(bd_Main[[#This Row],[Data]],"ddd")</f>
        <v>dom</v>
      </c>
      <c r="N218" s="15" t="str">
        <f>TEXT(bd_Main[[#This Row],[Data]],"MMM")</f>
        <v>dez</v>
      </c>
      <c r="O218" s="15" t="str">
        <f>TEXT(bd_Main[[#This Row],[Data]],"AAAA")</f>
        <v>2020</v>
      </c>
    </row>
    <row r="219" spans="1:15" x14ac:dyDescent="0.25">
      <c r="A219" s="7">
        <f t="shared" si="3"/>
        <v>218</v>
      </c>
      <c r="B219" s="2">
        <v>44192</v>
      </c>
      <c r="C219" s="3" t="s">
        <v>90</v>
      </c>
      <c r="D219" s="3" t="s">
        <v>74</v>
      </c>
      <c r="E219" s="3" t="s">
        <v>10</v>
      </c>
      <c r="F219" s="3" t="s">
        <v>79</v>
      </c>
      <c r="G219" s="3">
        <v>0</v>
      </c>
      <c r="H219" s="3" t="s">
        <v>32</v>
      </c>
      <c r="I219" s="3" t="s">
        <v>63</v>
      </c>
      <c r="J219" s="3" t="s">
        <v>70</v>
      </c>
      <c r="K219" s="3" t="s">
        <v>22</v>
      </c>
      <c r="L219" s="4">
        <v>265</v>
      </c>
      <c r="M219" s="15" t="str">
        <f>TEXT(bd_Main[[#This Row],[Data]],"ddd")</f>
        <v>dom</v>
      </c>
      <c r="N219" s="15" t="str">
        <f>TEXT(bd_Main[[#This Row],[Data]],"MMM")</f>
        <v>dez</v>
      </c>
      <c r="O219" s="15" t="str">
        <f>TEXT(bd_Main[[#This Row],[Data]],"AAAA")</f>
        <v>2020</v>
      </c>
    </row>
    <row r="220" spans="1:15" x14ac:dyDescent="0.25">
      <c r="A220" s="7">
        <f t="shared" si="3"/>
        <v>219</v>
      </c>
      <c r="B220" s="2">
        <v>44195</v>
      </c>
      <c r="C220" s="3" t="s">
        <v>96</v>
      </c>
      <c r="D220" s="3" t="s">
        <v>74</v>
      </c>
      <c r="E220" s="3" t="s">
        <v>20</v>
      </c>
      <c r="F220" s="3" t="s">
        <v>79</v>
      </c>
      <c r="G220" s="3">
        <v>0</v>
      </c>
      <c r="H220" s="3" t="s">
        <v>21</v>
      </c>
      <c r="I220" s="3" t="s">
        <v>64</v>
      </c>
      <c r="J220" s="3" t="s">
        <v>69</v>
      </c>
      <c r="K220" s="3" t="s">
        <v>23</v>
      </c>
      <c r="L220" s="4">
        <v>5000</v>
      </c>
      <c r="M220" s="15" t="str">
        <f>TEXT(bd_Main[[#This Row],[Data]],"ddd")</f>
        <v>qua</v>
      </c>
      <c r="N220" s="15" t="str">
        <f>TEXT(bd_Main[[#This Row],[Data]],"MMM")</f>
        <v>dez</v>
      </c>
      <c r="O220" s="15" t="str">
        <f>TEXT(bd_Main[[#This Row],[Data]],"AAAA")</f>
        <v>2020</v>
      </c>
    </row>
    <row r="221" spans="1:15" x14ac:dyDescent="0.25">
      <c r="A221" s="7">
        <f t="shared" si="3"/>
        <v>220</v>
      </c>
      <c r="B221" s="2">
        <v>44195</v>
      </c>
      <c r="C221" s="3" t="s">
        <v>96</v>
      </c>
      <c r="D221" s="3" t="s">
        <v>74</v>
      </c>
      <c r="E221" s="3" t="s">
        <v>17</v>
      </c>
      <c r="F221" s="3" t="s">
        <v>81</v>
      </c>
      <c r="G221" s="3">
        <v>0</v>
      </c>
      <c r="H221" s="3" t="s">
        <v>30</v>
      </c>
      <c r="I221" s="3" t="s">
        <v>64</v>
      </c>
      <c r="J221" s="3" t="s">
        <v>70</v>
      </c>
      <c r="K221" s="3" t="s">
        <v>28</v>
      </c>
      <c r="L221" s="4">
        <v>4366</v>
      </c>
      <c r="M221" s="15" t="str">
        <f>TEXT(bd_Main[[#This Row],[Data]],"ddd")</f>
        <v>qua</v>
      </c>
      <c r="N221" s="15" t="str">
        <f>TEXT(bd_Main[[#This Row],[Data]],"MMM")</f>
        <v>dez</v>
      </c>
      <c r="O221" s="15" t="str">
        <f>TEXT(bd_Main[[#This Row],[Data]],"AAAA")</f>
        <v>2020</v>
      </c>
    </row>
    <row r="222" spans="1:15" x14ac:dyDescent="0.25">
      <c r="A222" s="7">
        <f t="shared" si="3"/>
        <v>221</v>
      </c>
      <c r="B222" s="2">
        <v>44196</v>
      </c>
      <c r="C222" s="3" t="s">
        <v>33</v>
      </c>
      <c r="D222" s="3" t="s">
        <v>74</v>
      </c>
      <c r="E222" s="3" t="s">
        <v>10</v>
      </c>
      <c r="F222" s="3" t="s">
        <v>79</v>
      </c>
      <c r="G222" s="3">
        <v>2</v>
      </c>
      <c r="H222" s="3" t="s">
        <v>25</v>
      </c>
      <c r="I222" s="3" t="s">
        <v>62</v>
      </c>
      <c r="J222" s="3" t="s">
        <v>70</v>
      </c>
      <c r="K222" s="3" t="s">
        <v>28</v>
      </c>
      <c r="L222" s="4">
        <v>3060</v>
      </c>
      <c r="M222" s="15" t="str">
        <f>TEXT(bd_Main[[#This Row],[Data]],"ddd")</f>
        <v>qui</v>
      </c>
      <c r="N222" s="15" t="str">
        <f>TEXT(bd_Main[[#This Row],[Data]],"MMM")</f>
        <v>dez</v>
      </c>
      <c r="O222" s="15" t="str">
        <f>TEXT(bd_Main[[#This Row],[Data]],"AAAA")</f>
        <v>2020</v>
      </c>
    </row>
    <row r="223" spans="1:15" x14ac:dyDescent="0.25">
      <c r="A223" s="7">
        <f t="shared" si="3"/>
        <v>222</v>
      </c>
      <c r="B223" s="2">
        <v>44199</v>
      </c>
      <c r="C223" s="3" t="s">
        <v>95</v>
      </c>
      <c r="D223" s="3" t="s">
        <v>75</v>
      </c>
      <c r="E223" s="3" t="s">
        <v>20</v>
      </c>
      <c r="F223" s="3" t="s">
        <v>86</v>
      </c>
      <c r="G223" s="3">
        <v>0</v>
      </c>
      <c r="H223" s="3" t="s">
        <v>15</v>
      </c>
      <c r="I223" s="3" t="s">
        <v>64</v>
      </c>
      <c r="J223" s="3" t="s">
        <v>69</v>
      </c>
      <c r="K223" s="3" t="s">
        <v>28</v>
      </c>
      <c r="L223" s="4">
        <v>503</v>
      </c>
      <c r="M223" s="15" t="str">
        <f>TEXT(bd_Main[[#This Row],[Data]],"ddd")</f>
        <v>dom</v>
      </c>
      <c r="N223" s="15" t="str">
        <f>TEXT(bd_Main[[#This Row],[Data]],"MMM")</f>
        <v>jan</v>
      </c>
      <c r="O223" s="15" t="str">
        <f>TEXT(bd_Main[[#This Row],[Data]],"AAAA")</f>
        <v>2021</v>
      </c>
    </row>
    <row r="224" spans="1:15" x14ac:dyDescent="0.25">
      <c r="A224" s="7">
        <f t="shared" si="3"/>
        <v>223</v>
      </c>
      <c r="B224" s="2">
        <v>44199</v>
      </c>
      <c r="C224" s="3" t="s">
        <v>33</v>
      </c>
      <c r="D224" s="3" t="s">
        <v>75</v>
      </c>
      <c r="E224" s="3" t="s">
        <v>10</v>
      </c>
      <c r="F224" s="3" t="s">
        <v>86</v>
      </c>
      <c r="G224" s="3">
        <v>0</v>
      </c>
      <c r="H224" s="3" t="s">
        <v>18</v>
      </c>
      <c r="I224" s="3" t="s">
        <v>64</v>
      </c>
      <c r="J224" s="3" t="s">
        <v>69</v>
      </c>
      <c r="K224" s="3" t="s">
        <v>12</v>
      </c>
      <c r="L224" s="4">
        <v>3846</v>
      </c>
      <c r="M224" s="15" t="str">
        <f>TEXT(bd_Main[[#This Row],[Data]],"ddd")</f>
        <v>dom</v>
      </c>
      <c r="N224" s="15" t="str">
        <f>TEXT(bd_Main[[#This Row],[Data]],"MMM")</f>
        <v>jan</v>
      </c>
      <c r="O224" s="15" t="str">
        <f>TEXT(bd_Main[[#This Row],[Data]],"AAAA")</f>
        <v>2021</v>
      </c>
    </row>
    <row r="225" spans="1:15" x14ac:dyDescent="0.25">
      <c r="A225" s="7">
        <f t="shared" si="3"/>
        <v>224</v>
      </c>
      <c r="B225" s="2">
        <v>44202</v>
      </c>
      <c r="C225" s="3" t="s">
        <v>95</v>
      </c>
      <c r="D225" s="3" t="s">
        <v>74</v>
      </c>
      <c r="E225" s="3" t="s">
        <v>14</v>
      </c>
      <c r="F225" s="3" t="s">
        <v>82</v>
      </c>
      <c r="G225" s="3">
        <v>0</v>
      </c>
      <c r="H225" s="3" t="s">
        <v>25</v>
      </c>
      <c r="I225" s="3" t="s">
        <v>64</v>
      </c>
      <c r="J225" s="3" t="s">
        <v>70</v>
      </c>
      <c r="K225" s="3" t="s">
        <v>16</v>
      </c>
      <c r="L225" s="4">
        <v>1690</v>
      </c>
      <c r="M225" s="15" t="str">
        <f>TEXT(bd_Main[[#This Row],[Data]],"ddd")</f>
        <v>qua</v>
      </c>
      <c r="N225" s="15" t="str">
        <f>TEXT(bd_Main[[#This Row],[Data]],"MMM")</f>
        <v>jan</v>
      </c>
      <c r="O225" s="15" t="str">
        <f>TEXT(bd_Main[[#This Row],[Data]],"AAAA")</f>
        <v>2021</v>
      </c>
    </row>
    <row r="226" spans="1:15" x14ac:dyDescent="0.25">
      <c r="A226" s="7">
        <f t="shared" si="3"/>
        <v>225</v>
      </c>
      <c r="B226" s="2">
        <v>44203</v>
      </c>
      <c r="C226" s="3" t="s">
        <v>95</v>
      </c>
      <c r="D226" s="3" t="s">
        <v>74</v>
      </c>
      <c r="E226" s="3" t="s">
        <v>14</v>
      </c>
      <c r="F226" s="3" t="s">
        <v>85</v>
      </c>
      <c r="G226" s="3">
        <v>0</v>
      </c>
      <c r="H226" s="3" t="s">
        <v>11</v>
      </c>
      <c r="I226" s="3" t="s">
        <v>64</v>
      </c>
      <c r="J226" s="3" t="s">
        <v>69</v>
      </c>
      <c r="K226" s="3" t="s">
        <v>28</v>
      </c>
      <c r="L226" s="4">
        <v>1010</v>
      </c>
      <c r="M226" s="15" t="str">
        <f>TEXT(bd_Main[[#This Row],[Data]],"ddd")</f>
        <v>qui</v>
      </c>
      <c r="N226" s="15" t="str">
        <f>TEXT(bd_Main[[#This Row],[Data]],"MMM")</f>
        <v>jan</v>
      </c>
      <c r="O226" s="15" t="str">
        <f>TEXT(bd_Main[[#This Row],[Data]],"AAAA")</f>
        <v>2021</v>
      </c>
    </row>
    <row r="227" spans="1:15" x14ac:dyDescent="0.25">
      <c r="A227" s="7">
        <f t="shared" si="3"/>
        <v>226</v>
      </c>
      <c r="B227" s="2">
        <v>44204</v>
      </c>
      <c r="C227" s="3" t="s">
        <v>96</v>
      </c>
      <c r="D227" s="3" t="s">
        <v>74</v>
      </c>
      <c r="E227" s="3" t="s">
        <v>20</v>
      </c>
      <c r="F227" s="3" t="s">
        <v>80</v>
      </c>
      <c r="G227" s="3">
        <v>0</v>
      </c>
      <c r="H227" s="3" t="s">
        <v>25</v>
      </c>
      <c r="I227" s="3" t="s">
        <v>61</v>
      </c>
      <c r="J227" s="3" t="s">
        <v>69</v>
      </c>
      <c r="K227" s="3" t="s">
        <v>12</v>
      </c>
      <c r="L227" s="4">
        <v>0</v>
      </c>
      <c r="M227" s="15" t="str">
        <f>TEXT(bd_Main[[#This Row],[Data]],"ddd")</f>
        <v>sex</v>
      </c>
      <c r="N227" s="15" t="str">
        <f>TEXT(bd_Main[[#This Row],[Data]],"MMM")</f>
        <v>jan</v>
      </c>
      <c r="O227" s="15" t="str">
        <f>TEXT(bd_Main[[#This Row],[Data]],"AAAA")</f>
        <v>2021</v>
      </c>
    </row>
    <row r="228" spans="1:15" x14ac:dyDescent="0.25">
      <c r="A228" s="7">
        <f t="shared" si="3"/>
        <v>227</v>
      </c>
      <c r="B228" s="2">
        <v>44204</v>
      </c>
      <c r="C228" s="3" t="s">
        <v>96</v>
      </c>
      <c r="D228" s="3" t="s">
        <v>74</v>
      </c>
      <c r="E228" s="3" t="s">
        <v>14</v>
      </c>
      <c r="F228" s="3" t="s">
        <v>84</v>
      </c>
      <c r="G228" s="3">
        <v>0</v>
      </c>
      <c r="H228" s="3" t="s">
        <v>32</v>
      </c>
      <c r="I228" s="3" t="s">
        <v>61</v>
      </c>
      <c r="J228" s="3" t="s">
        <v>71</v>
      </c>
      <c r="K228" s="3" t="s">
        <v>26</v>
      </c>
      <c r="L228" s="4">
        <v>0</v>
      </c>
      <c r="M228" s="15" t="str">
        <f>TEXT(bd_Main[[#This Row],[Data]],"ddd")</f>
        <v>sex</v>
      </c>
      <c r="N228" s="15" t="str">
        <f>TEXT(bd_Main[[#This Row],[Data]],"MMM")</f>
        <v>jan</v>
      </c>
      <c r="O228" s="15" t="str">
        <f>TEXT(bd_Main[[#This Row],[Data]],"AAAA")</f>
        <v>2021</v>
      </c>
    </row>
    <row r="229" spans="1:15" x14ac:dyDescent="0.25">
      <c r="A229" s="7">
        <f t="shared" si="3"/>
        <v>228</v>
      </c>
      <c r="B229" s="2">
        <v>44204</v>
      </c>
      <c r="C229" s="3" t="s">
        <v>90</v>
      </c>
      <c r="D229" s="3" t="s">
        <v>74</v>
      </c>
      <c r="E229" s="3" t="s">
        <v>10</v>
      </c>
      <c r="F229" s="3" t="s">
        <v>87</v>
      </c>
      <c r="G229" s="3">
        <v>4</v>
      </c>
      <c r="H229" s="3" t="s">
        <v>29</v>
      </c>
      <c r="I229" s="3" t="s">
        <v>62</v>
      </c>
      <c r="J229" s="3" t="s">
        <v>69</v>
      </c>
      <c r="K229" s="3" t="s">
        <v>19</v>
      </c>
      <c r="L229" s="4">
        <v>1190</v>
      </c>
      <c r="M229" s="15" t="str">
        <f>TEXT(bd_Main[[#This Row],[Data]],"ddd")</f>
        <v>sex</v>
      </c>
      <c r="N229" s="15" t="str">
        <f>TEXT(bd_Main[[#This Row],[Data]],"MMM")</f>
        <v>jan</v>
      </c>
      <c r="O229" s="15" t="str">
        <f>TEXT(bd_Main[[#This Row],[Data]],"AAAA")</f>
        <v>2021</v>
      </c>
    </row>
    <row r="230" spans="1:15" x14ac:dyDescent="0.25">
      <c r="A230" s="7">
        <f t="shared" si="3"/>
        <v>229</v>
      </c>
      <c r="B230" s="2">
        <v>44207</v>
      </c>
      <c r="C230" s="3" t="s">
        <v>96</v>
      </c>
      <c r="D230" s="3" t="s">
        <v>74</v>
      </c>
      <c r="E230" s="3" t="s">
        <v>10</v>
      </c>
      <c r="F230" s="3" t="s">
        <v>81</v>
      </c>
      <c r="G230" s="3">
        <v>0</v>
      </c>
      <c r="H230" s="3" t="s">
        <v>25</v>
      </c>
      <c r="I230" s="3" t="s">
        <v>64</v>
      </c>
      <c r="J230" s="3" t="s">
        <v>70</v>
      </c>
      <c r="K230" s="3" t="s">
        <v>19</v>
      </c>
      <c r="L230" s="4">
        <v>2459</v>
      </c>
      <c r="M230" s="15" t="str">
        <f>TEXT(bd_Main[[#This Row],[Data]],"ddd")</f>
        <v>seg</v>
      </c>
      <c r="N230" s="15" t="str">
        <f>TEXT(bd_Main[[#This Row],[Data]],"MMM")</f>
        <v>jan</v>
      </c>
      <c r="O230" s="15" t="str">
        <f>TEXT(bd_Main[[#This Row],[Data]],"AAAA")</f>
        <v>2021</v>
      </c>
    </row>
    <row r="231" spans="1:15" x14ac:dyDescent="0.25">
      <c r="A231" s="7">
        <f t="shared" si="3"/>
        <v>230</v>
      </c>
      <c r="B231" s="2">
        <v>44209</v>
      </c>
      <c r="C231" s="3" t="s">
        <v>13</v>
      </c>
      <c r="D231" s="3" t="s">
        <v>74</v>
      </c>
      <c r="E231" s="3" t="s">
        <v>10</v>
      </c>
      <c r="F231" s="3" t="s">
        <v>80</v>
      </c>
      <c r="G231" s="3">
        <v>1.5</v>
      </c>
      <c r="H231" s="3" t="s">
        <v>25</v>
      </c>
      <c r="I231" s="3" t="s">
        <v>62</v>
      </c>
      <c r="J231" s="3" t="s">
        <v>71</v>
      </c>
      <c r="K231" s="3" t="s">
        <v>27</v>
      </c>
      <c r="L231" s="4">
        <v>995</v>
      </c>
      <c r="M231" s="15" t="str">
        <f>TEXT(bd_Main[[#This Row],[Data]],"ddd")</f>
        <v>qua</v>
      </c>
      <c r="N231" s="15" t="str">
        <f>TEXT(bd_Main[[#This Row],[Data]],"MMM")</f>
        <v>jan</v>
      </c>
      <c r="O231" s="15" t="str">
        <f>TEXT(bd_Main[[#This Row],[Data]],"AAAA")</f>
        <v>2021</v>
      </c>
    </row>
    <row r="232" spans="1:15" x14ac:dyDescent="0.25">
      <c r="A232" s="7">
        <f t="shared" si="3"/>
        <v>231</v>
      </c>
      <c r="B232" s="2">
        <v>44212</v>
      </c>
      <c r="C232" s="3" t="s">
        <v>96</v>
      </c>
      <c r="D232" s="3" t="s">
        <v>74</v>
      </c>
      <c r="E232" s="3" t="s">
        <v>10</v>
      </c>
      <c r="F232" s="3" t="s">
        <v>86</v>
      </c>
      <c r="G232" s="3">
        <v>2</v>
      </c>
      <c r="H232" s="3" t="s">
        <v>15</v>
      </c>
      <c r="I232" s="3" t="s">
        <v>62</v>
      </c>
      <c r="J232" s="3" t="s">
        <v>70</v>
      </c>
      <c r="K232" s="3" t="s">
        <v>19</v>
      </c>
      <c r="L232" s="4">
        <v>2593</v>
      </c>
      <c r="M232" s="15" t="str">
        <f>TEXT(bd_Main[[#This Row],[Data]],"ddd")</f>
        <v>sáb</v>
      </c>
      <c r="N232" s="15" t="str">
        <f>TEXT(bd_Main[[#This Row],[Data]],"MMM")</f>
        <v>jan</v>
      </c>
      <c r="O232" s="15" t="str">
        <f>TEXT(bd_Main[[#This Row],[Data]],"AAAA")</f>
        <v>2021</v>
      </c>
    </row>
    <row r="233" spans="1:15" x14ac:dyDescent="0.25">
      <c r="A233" s="7">
        <f t="shared" si="3"/>
        <v>232</v>
      </c>
      <c r="B233" s="2">
        <v>44215</v>
      </c>
      <c r="C233" s="3" t="s">
        <v>96</v>
      </c>
      <c r="D233" s="3" t="s">
        <v>74</v>
      </c>
      <c r="E233" s="3" t="s">
        <v>20</v>
      </c>
      <c r="F233" s="3" t="s">
        <v>87</v>
      </c>
      <c r="G233" s="3">
        <v>0</v>
      </c>
      <c r="H233" s="3" t="s">
        <v>25</v>
      </c>
      <c r="I233" s="3" t="s">
        <v>61</v>
      </c>
      <c r="J233" s="3" t="s">
        <v>70</v>
      </c>
      <c r="K233" s="3" t="s">
        <v>19</v>
      </c>
      <c r="L233" s="4">
        <v>0</v>
      </c>
      <c r="M233" s="15" t="str">
        <f>TEXT(bd_Main[[#This Row],[Data]],"ddd")</f>
        <v>ter</v>
      </c>
      <c r="N233" s="15" t="str">
        <f>TEXT(bd_Main[[#This Row],[Data]],"MMM")</f>
        <v>jan</v>
      </c>
      <c r="O233" s="15" t="str">
        <f>TEXT(bd_Main[[#This Row],[Data]],"AAAA")</f>
        <v>2021</v>
      </c>
    </row>
    <row r="234" spans="1:15" x14ac:dyDescent="0.25">
      <c r="A234" s="7">
        <f t="shared" si="3"/>
        <v>233</v>
      </c>
      <c r="B234" s="2">
        <v>44219</v>
      </c>
      <c r="C234" s="3" t="s">
        <v>91</v>
      </c>
      <c r="D234" s="3" t="s">
        <v>74</v>
      </c>
      <c r="E234" s="3" t="s">
        <v>17</v>
      </c>
      <c r="F234" s="3" t="s">
        <v>80</v>
      </c>
      <c r="G234" s="3">
        <v>0</v>
      </c>
      <c r="H234" s="3" t="s">
        <v>11</v>
      </c>
      <c r="I234" s="3" t="s">
        <v>63</v>
      </c>
      <c r="J234" s="3" t="s">
        <v>69</v>
      </c>
      <c r="K234" s="3" t="s">
        <v>12</v>
      </c>
      <c r="L234" s="4">
        <v>8</v>
      </c>
      <c r="M234" s="15" t="str">
        <f>TEXT(bd_Main[[#This Row],[Data]],"ddd")</f>
        <v>sáb</v>
      </c>
      <c r="N234" s="15" t="str">
        <f>TEXT(bd_Main[[#This Row],[Data]],"MMM")</f>
        <v>jan</v>
      </c>
      <c r="O234" s="15" t="str">
        <f>TEXT(bd_Main[[#This Row],[Data]],"AAAA")</f>
        <v>2021</v>
      </c>
    </row>
    <row r="235" spans="1:15" x14ac:dyDescent="0.25">
      <c r="A235" s="7">
        <f t="shared" si="3"/>
        <v>234</v>
      </c>
      <c r="B235" s="2">
        <v>44221</v>
      </c>
      <c r="C235" s="3" t="s">
        <v>94</v>
      </c>
      <c r="D235" s="3" t="s">
        <v>74</v>
      </c>
      <c r="E235" s="3" t="s">
        <v>20</v>
      </c>
      <c r="F235" s="3" t="s">
        <v>82</v>
      </c>
      <c r="G235" s="3">
        <v>0</v>
      </c>
      <c r="H235" s="3" t="s">
        <v>11</v>
      </c>
      <c r="I235" s="3" t="s">
        <v>64</v>
      </c>
      <c r="J235" s="3" t="s">
        <v>70</v>
      </c>
      <c r="K235" s="3" t="s">
        <v>31</v>
      </c>
      <c r="L235" s="4">
        <v>4259</v>
      </c>
      <c r="M235" s="15" t="str">
        <f>TEXT(bd_Main[[#This Row],[Data]],"ddd")</f>
        <v>seg</v>
      </c>
      <c r="N235" s="15" t="str">
        <f>TEXT(bd_Main[[#This Row],[Data]],"MMM")</f>
        <v>jan</v>
      </c>
      <c r="O235" s="15" t="str">
        <f>TEXT(bd_Main[[#This Row],[Data]],"AAAA")</f>
        <v>2021</v>
      </c>
    </row>
    <row r="236" spans="1:15" x14ac:dyDescent="0.25">
      <c r="A236" s="7">
        <f t="shared" si="3"/>
        <v>235</v>
      </c>
      <c r="B236" s="2">
        <v>44222</v>
      </c>
      <c r="C236" s="3" t="s">
        <v>96</v>
      </c>
      <c r="D236" s="3" t="s">
        <v>74</v>
      </c>
      <c r="E236" s="3" t="s">
        <v>14</v>
      </c>
      <c r="F236" s="3" t="s">
        <v>79</v>
      </c>
      <c r="G236" s="3">
        <v>0</v>
      </c>
      <c r="H236" s="3" t="s">
        <v>29</v>
      </c>
      <c r="I236" s="3" t="s">
        <v>64</v>
      </c>
      <c r="J236" s="3" t="s">
        <v>71</v>
      </c>
      <c r="K236" s="3" t="s">
        <v>19</v>
      </c>
      <c r="L236" s="4">
        <v>2582</v>
      </c>
      <c r="M236" s="15" t="str">
        <f>TEXT(bd_Main[[#This Row],[Data]],"ddd")</f>
        <v>ter</v>
      </c>
      <c r="N236" s="15" t="str">
        <f>TEXT(bd_Main[[#This Row],[Data]],"MMM")</f>
        <v>jan</v>
      </c>
      <c r="O236" s="15" t="str">
        <f>TEXT(bd_Main[[#This Row],[Data]],"AAAA")</f>
        <v>2021</v>
      </c>
    </row>
    <row r="237" spans="1:15" x14ac:dyDescent="0.25">
      <c r="A237" s="7">
        <f t="shared" si="3"/>
        <v>236</v>
      </c>
      <c r="B237" s="2">
        <v>44223</v>
      </c>
      <c r="C237" s="3" t="s">
        <v>90</v>
      </c>
      <c r="D237" s="3" t="s">
        <v>74</v>
      </c>
      <c r="E237" s="3" t="s">
        <v>10</v>
      </c>
      <c r="F237" s="3" t="s">
        <v>81</v>
      </c>
      <c r="G237" s="3">
        <v>0</v>
      </c>
      <c r="H237" s="3" t="s">
        <v>11</v>
      </c>
      <c r="I237" s="3" t="s">
        <v>63</v>
      </c>
      <c r="J237" s="3" t="s">
        <v>71</v>
      </c>
      <c r="K237" s="3" t="s">
        <v>27</v>
      </c>
      <c r="L237" s="4">
        <v>66</v>
      </c>
      <c r="M237" s="15" t="str">
        <f>TEXT(bd_Main[[#This Row],[Data]],"ddd")</f>
        <v>qua</v>
      </c>
      <c r="N237" s="15" t="str">
        <f>TEXT(bd_Main[[#This Row],[Data]],"MMM")</f>
        <v>jan</v>
      </c>
      <c r="O237" s="15" t="str">
        <f>TEXT(bd_Main[[#This Row],[Data]],"AAAA")</f>
        <v>2021</v>
      </c>
    </row>
    <row r="238" spans="1:15" x14ac:dyDescent="0.25">
      <c r="A238" s="7">
        <f t="shared" si="3"/>
        <v>237</v>
      </c>
      <c r="B238" s="2">
        <v>44229</v>
      </c>
      <c r="C238" s="3" t="s">
        <v>13</v>
      </c>
      <c r="D238" s="3" t="s">
        <v>74</v>
      </c>
      <c r="E238" s="3" t="s">
        <v>20</v>
      </c>
      <c r="F238" s="3" t="s">
        <v>81</v>
      </c>
      <c r="G238" s="3">
        <v>0.5</v>
      </c>
      <c r="H238" s="3" t="s">
        <v>32</v>
      </c>
      <c r="I238" s="3" t="s">
        <v>62</v>
      </c>
      <c r="J238" s="3" t="s">
        <v>70</v>
      </c>
      <c r="K238" s="3" t="s">
        <v>23</v>
      </c>
      <c r="L238" s="4">
        <v>2437</v>
      </c>
      <c r="M238" s="15" t="str">
        <f>TEXT(bd_Main[[#This Row],[Data]],"ddd")</f>
        <v>ter</v>
      </c>
      <c r="N238" s="15" t="str">
        <f>TEXT(bd_Main[[#This Row],[Data]],"MMM")</f>
        <v>fev</v>
      </c>
      <c r="O238" s="15" t="str">
        <f>TEXT(bd_Main[[#This Row],[Data]],"AAAA")</f>
        <v>2021</v>
      </c>
    </row>
    <row r="239" spans="1:15" x14ac:dyDescent="0.25">
      <c r="A239" s="7">
        <f t="shared" si="3"/>
        <v>238</v>
      </c>
      <c r="B239" s="2">
        <v>44229</v>
      </c>
      <c r="C239" s="3" t="s">
        <v>96</v>
      </c>
      <c r="D239" s="3" t="s">
        <v>75</v>
      </c>
      <c r="E239" s="3" t="s">
        <v>20</v>
      </c>
      <c r="F239" s="3" t="s">
        <v>82</v>
      </c>
      <c r="G239" s="3">
        <v>0</v>
      </c>
      <c r="H239" s="3" t="s">
        <v>15</v>
      </c>
      <c r="I239" s="3" t="s">
        <v>61</v>
      </c>
      <c r="J239" s="3" t="s">
        <v>70</v>
      </c>
      <c r="K239" s="3" t="s">
        <v>12</v>
      </c>
      <c r="L239" s="4">
        <v>0</v>
      </c>
      <c r="M239" s="15" t="str">
        <f>TEXT(bd_Main[[#This Row],[Data]],"ddd")</f>
        <v>ter</v>
      </c>
      <c r="N239" s="15" t="str">
        <f>TEXT(bd_Main[[#This Row],[Data]],"MMM")</f>
        <v>fev</v>
      </c>
      <c r="O239" s="15" t="str">
        <f>TEXT(bd_Main[[#This Row],[Data]],"AAAA")</f>
        <v>2021</v>
      </c>
    </row>
    <row r="240" spans="1:15" x14ac:dyDescent="0.25">
      <c r="A240" s="7">
        <f t="shared" si="3"/>
        <v>239</v>
      </c>
      <c r="B240" s="2">
        <v>44230</v>
      </c>
      <c r="C240" s="3" t="s">
        <v>95</v>
      </c>
      <c r="D240" s="3" t="s">
        <v>74</v>
      </c>
      <c r="E240" s="3" t="s">
        <v>17</v>
      </c>
      <c r="F240" s="3" t="s">
        <v>84</v>
      </c>
      <c r="G240" s="3">
        <v>0</v>
      </c>
      <c r="H240" s="3" t="s">
        <v>32</v>
      </c>
      <c r="I240" s="3" t="s">
        <v>64</v>
      </c>
      <c r="J240" s="3" t="s">
        <v>70</v>
      </c>
      <c r="K240" s="3" t="s">
        <v>12</v>
      </c>
      <c r="L240" s="4">
        <v>2359</v>
      </c>
      <c r="M240" s="15" t="str">
        <f>TEXT(bd_Main[[#This Row],[Data]],"ddd")</f>
        <v>qua</v>
      </c>
      <c r="N240" s="15" t="str">
        <f>TEXT(bd_Main[[#This Row],[Data]],"MMM")</f>
        <v>fev</v>
      </c>
      <c r="O240" s="15" t="str">
        <f>TEXT(bd_Main[[#This Row],[Data]],"AAAA")</f>
        <v>2021</v>
      </c>
    </row>
    <row r="241" spans="1:15" x14ac:dyDescent="0.25">
      <c r="A241" s="7">
        <f t="shared" si="3"/>
        <v>240</v>
      </c>
      <c r="B241" s="2">
        <v>44234</v>
      </c>
      <c r="C241" s="3" t="s">
        <v>91</v>
      </c>
      <c r="D241" s="3" t="s">
        <v>74</v>
      </c>
      <c r="E241" s="3" t="s">
        <v>20</v>
      </c>
      <c r="F241" s="3" t="s">
        <v>79</v>
      </c>
      <c r="G241" s="3">
        <v>0</v>
      </c>
      <c r="H241" s="3" t="s">
        <v>21</v>
      </c>
      <c r="I241" s="3" t="s">
        <v>64</v>
      </c>
      <c r="J241" s="3" t="s">
        <v>71</v>
      </c>
      <c r="K241" s="3" t="s">
        <v>12</v>
      </c>
      <c r="L241" s="4">
        <v>653</v>
      </c>
      <c r="M241" s="15" t="str">
        <f>TEXT(bd_Main[[#This Row],[Data]],"ddd")</f>
        <v>dom</v>
      </c>
      <c r="N241" s="15" t="str">
        <f>TEXT(bd_Main[[#This Row],[Data]],"MMM")</f>
        <v>fev</v>
      </c>
      <c r="O241" s="15" t="str">
        <f>TEXT(bd_Main[[#This Row],[Data]],"AAAA")</f>
        <v>2021</v>
      </c>
    </row>
    <row r="242" spans="1:15" x14ac:dyDescent="0.25">
      <c r="A242" s="7">
        <f t="shared" si="3"/>
        <v>241</v>
      </c>
      <c r="B242" s="2">
        <v>44238</v>
      </c>
      <c r="C242" s="3" t="s">
        <v>90</v>
      </c>
      <c r="D242" s="3" t="s">
        <v>74</v>
      </c>
      <c r="E242" s="3" t="s">
        <v>14</v>
      </c>
      <c r="F242" s="3" t="s">
        <v>85</v>
      </c>
      <c r="G242" s="3">
        <v>0</v>
      </c>
      <c r="H242" s="3" t="s">
        <v>11</v>
      </c>
      <c r="I242" s="3" t="s">
        <v>64</v>
      </c>
      <c r="J242" s="3" t="s">
        <v>69</v>
      </c>
      <c r="K242" s="3" t="s">
        <v>12</v>
      </c>
      <c r="L242" s="4">
        <v>3487</v>
      </c>
      <c r="M242" s="15" t="str">
        <f>TEXT(bd_Main[[#This Row],[Data]],"ddd")</f>
        <v>qui</v>
      </c>
      <c r="N242" s="15" t="str">
        <f>TEXT(bd_Main[[#This Row],[Data]],"MMM")</f>
        <v>fev</v>
      </c>
      <c r="O242" s="15" t="str">
        <f>TEXT(bd_Main[[#This Row],[Data]],"AAAA")</f>
        <v>2021</v>
      </c>
    </row>
    <row r="243" spans="1:15" x14ac:dyDescent="0.25">
      <c r="A243" s="7">
        <f t="shared" si="3"/>
        <v>242</v>
      </c>
      <c r="B243" s="2">
        <v>44238</v>
      </c>
      <c r="C243" s="3" t="s">
        <v>93</v>
      </c>
      <c r="D243" s="3" t="s">
        <v>74</v>
      </c>
      <c r="E243" s="3" t="s">
        <v>14</v>
      </c>
      <c r="F243" s="3" t="s">
        <v>80</v>
      </c>
      <c r="G243" s="3">
        <v>0</v>
      </c>
      <c r="H243" s="3" t="s">
        <v>24</v>
      </c>
      <c r="I243" s="3" t="s">
        <v>63</v>
      </c>
      <c r="J243" s="3" t="s">
        <v>69</v>
      </c>
      <c r="K243" s="3" t="s">
        <v>31</v>
      </c>
      <c r="L243" s="4">
        <v>67</v>
      </c>
      <c r="M243" s="15" t="str">
        <f>TEXT(bd_Main[[#This Row],[Data]],"ddd")</f>
        <v>qui</v>
      </c>
      <c r="N243" s="15" t="str">
        <f>TEXT(bd_Main[[#This Row],[Data]],"MMM")</f>
        <v>fev</v>
      </c>
      <c r="O243" s="15" t="str">
        <f>TEXT(bd_Main[[#This Row],[Data]],"AAAA")</f>
        <v>2021</v>
      </c>
    </row>
    <row r="244" spans="1:15" x14ac:dyDescent="0.25">
      <c r="A244" s="7">
        <f t="shared" si="3"/>
        <v>243</v>
      </c>
      <c r="B244" s="2">
        <v>44240</v>
      </c>
      <c r="C244" s="3" t="s">
        <v>91</v>
      </c>
      <c r="D244" s="3" t="s">
        <v>74</v>
      </c>
      <c r="E244" s="3" t="s">
        <v>20</v>
      </c>
      <c r="F244" s="3" t="s">
        <v>86</v>
      </c>
      <c r="G244" s="3">
        <v>2.5</v>
      </c>
      <c r="H244" s="3" t="s">
        <v>15</v>
      </c>
      <c r="I244" s="3" t="s">
        <v>62</v>
      </c>
      <c r="J244" s="3" t="s">
        <v>71</v>
      </c>
      <c r="K244" s="3" t="s">
        <v>27</v>
      </c>
      <c r="L244" s="4">
        <v>1922</v>
      </c>
      <c r="M244" s="15" t="str">
        <f>TEXT(bd_Main[[#This Row],[Data]],"ddd")</f>
        <v>sáb</v>
      </c>
      <c r="N244" s="15" t="str">
        <f>TEXT(bd_Main[[#This Row],[Data]],"MMM")</f>
        <v>fev</v>
      </c>
      <c r="O244" s="15" t="str">
        <f>TEXT(bd_Main[[#This Row],[Data]],"AAAA")</f>
        <v>2021</v>
      </c>
    </row>
    <row r="245" spans="1:15" x14ac:dyDescent="0.25">
      <c r="A245" s="7">
        <f t="shared" si="3"/>
        <v>244</v>
      </c>
      <c r="B245" s="2">
        <v>44241</v>
      </c>
      <c r="C245" s="3" t="s">
        <v>96</v>
      </c>
      <c r="D245" s="3" t="s">
        <v>74</v>
      </c>
      <c r="E245" s="3" t="s">
        <v>17</v>
      </c>
      <c r="F245" s="3" t="s">
        <v>81</v>
      </c>
      <c r="G245" s="3">
        <v>0</v>
      </c>
      <c r="H245" s="3" t="s">
        <v>30</v>
      </c>
      <c r="I245" s="3" t="s">
        <v>64</v>
      </c>
      <c r="J245" s="3" t="s">
        <v>71</v>
      </c>
      <c r="K245" s="3" t="s">
        <v>12</v>
      </c>
      <c r="L245" s="4">
        <v>4247</v>
      </c>
      <c r="M245" s="15" t="str">
        <f>TEXT(bd_Main[[#This Row],[Data]],"ddd")</f>
        <v>dom</v>
      </c>
      <c r="N245" s="15" t="str">
        <f>TEXT(bd_Main[[#This Row],[Data]],"MMM")</f>
        <v>fev</v>
      </c>
      <c r="O245" s="15" t="str">
        <f>TEXT(bd_Main[[#This Row],[Data]],"AAAA")</f>
        <v>2021</v>
      </c>
    </row>
    <row r="246" spans="1:15" x14ac:dyDescent="0.25">
      <c r="A246" s="7">
        <f t="shared" si="3"/>
        <v>245</v>
      </c>
      <c r="B246" s="2">
        <v>44242</v>
      </c>
      <c r="C246" s="3" t="s">
        <v>93</v>
      </c>
      <c r="D246" s="3" t="s">
        <v>74</v>
      </c>
      <c r="E246" s="3" t="s">
        <v>20</v>
      </c>
      <c r="F246" s="3" t="s">
        <v>81</v>
      </c>
      <c r="G246" s="3">
        <v>0</v>
      </c>
      <c r="H246" s="3" t="s">
        <v>32</v>
      </c>
      <c r="I246" s="3" t="s">
        <v>61</v>
      </c>
      <c r="J246" s="3" t="s">
        <v>71</v>
      </c>
      <c r="K246" s="3" t="s">
        <v>16</v>
      </c>
      <c r="L246" s="4">
        <v>0</v>
      </c>
      <c r="M246" s="15" t="str">
        <f>TEXT(bd_Main[[#This Row],[Data]],"ddd")</f>
        <v>seg</v>
      </c>
      <c r="N246" s="15" t="str">
        <f>TEXT(bd_Main[[#This Row],[Data]],"MMM")</f>
        <v>fev</v>
      </c>
      <c r="O246" s="15" t="str">
        <f>TEXT(bd_Main[[#This Row],[Data]],"AAAA")</f>
        <v>2021</v>
      </c>
    </row>
    <row r="247" spans="1:15" x14ac:dyDescent="0.25">
      <c r="A247" s="7">
        <f t="shared" si="3"/>
        <v>246</v>
      </c>
      <c r="B247" s="2">
        <v>44245</v>
      </c>
      <c r="C247" s="3" t="s">
        <v>96</v>
      </c>
      <c r="D247" s="3" t="s">
        <v>74</v>
      </c>
      <c r="E247" s="3" t="s">
        <v>17</v>
      </c>
      <c r="F247" s="3" t="s">
        <v>81</v>
      </c>
      <c r="G247" s="3">
        <v>0</v>
      </c>
      <c r="H247" s="3" t="s">
        <v>32</v>
      </c>
      <c r="I247" s="3" t="s">
        <v>61</v>
      </c>
      <c r="J247" s="3" t="s">
        <v>71</v>
      </c>
      <c r="K247" s="3" t="s">
        <v>31</v>
      </c>
      <c r="L247" s="4">
        <v>0</v>
      </c>
      <c r="M247" s="15" t="str">
        <f>TEXT(bd_Main[[#This Row],[Data]],"ddd")</f>
        <v>qui</v>
      </c>
      <c r="N247" s="15" t="str">
        <f>TEXT(bd_Main[[#This Row],[Data]],"MMM")</f>
        <v>fev</v>
      </c>
      <c r="O247" s="15" t="str">
        <f>TEXT(bd_Main[[#This Row],[Data]],"AAAA")</f>
        <v>2021</v>
      </c>
    </row>
    <row r="248" spans="1:15" x14ac:dyDescent="0.25">
      <c r="A248" s="7">
        <f t="shared" si="3"/>
        <v>247</v>
      </c>
      <c r="B248" s="2">
        <v>44245</v>
      </c>
      <c r="C248" s="3" t="s">
        <v>91</v>
      </c>
      <c r="D248" s="3" t="s">
        <v>75</v>
      </c>
      <c r="E248" s="3" t="s">
        <v>10</v>
      </c>
      <c r="F248" s="3" t="s">
        <v>84</v>
      </c>
      <c r="G248" s="3">
        <v>0</v>
      </c>
      <c r="H248" s="3" t="s">
        <v>25</v>
      </c>
      <c r="I248" s="3" t="s">
        <v>61</v>
      </c>
      <c r="J248" s="3" t="s">
        <v>71</v>
      </c>
      <c r="K248" s="3" t="s">
        <v>27</v>
      </c>
      <c r="L248" s="4">
        <v>0</v>
      </c>
      <c r="M248" s="15" t="str">
        <f>TEXT(bd_Main[[#This Row],[Data]],"ddd")</f>
        <v>qui</v>
      </c>
      <c r="N248" s="15" t="str">
        <f>TEXT(bd_Main[[#This Row],[Data]],"MMM")</f>
        <v>fev</v>
      </c>
      <c r="O248" s="15" t="str">
        <f>TEXT(bd_Main[[#This Row],[Data]],"AAAA")</f>
        <v>2021</v>
      </c>
    </row>
    <row r="249" spans="1:15" x14ac:dyDescent="0.25">
      <c r="A249" s="7">
        <f t="shared" si="3"/>
        <v>248</v>
      </c>
      <c r="B249" s="2">
        <v>44246</v>
      </c>
      <c r="C249" s="3" t="s">
        <v>92</v>
      </c>
      <c r="D249" s="3" t="s">
        <v>74</v>
      </c>
      <c r="E249" s="3" t="s">
        <v>17</v>
      </c>
      <c r="F249" s="3" t="s">
        <v>86</v>
      </c>
      <c r="G249" s="3">
        <v>0</v>
      </c>
      <c r="H249" s="3" t="s">
        <v>24</v>
      </c>
      <c r="I249" s="3" t="s">
        <v>63</v>
      </c>
      <c r="J249" s="3" t="s">
        <v>71</v>
      </c>
      <c r="K249" s="3" t="s">
        <v>16</v>
      </c>
      <c r="L249" s="4">
        <v>189</v>
      </c>
      <c r="M249" s="15" t="str">
        <f>TEXT(bd_Main[[#This Row],[Data]],"ddd")</f>
        <v>sex</v>
      </c>
      <c r="N249" s="15" t="str">
        <f>TEXT(bd_Main[[#This Row],[Data]],"MMM")</f>
        <v>fev</v>
      </c>
      <c r="O249" s="15" t="str">
        <f>TEXT(bd_Main[[#This Row],[Data]],"AAAA")</f>
        <v>2021</v>
      </c>
    </row>
    <row r="250" spans="1:15" x14ac:dyDescent="0.25">
      <c r="A250" s="7">
        <f t="shared" si="3"/>
        <v>249</v>
      </c>
      <c r="B250" s="2">
        <v>44248</v>
      </c>
      <c r="C250" s="3" t="s">
        <v>92</v>
      </c>
      <c r="D250" s="3" t="s">
        <v>74</v>
      </c>
      <c r="E250" s="3" t="s">
        <v>10</v>
      </c>
      <c r="F250" s="3" t="s">
        <v>82</v>
      </c>
      <c r="G250" s="3">
        <v>0</v>
      </c>
      <c r="H250" s="3" t="s">
        <v>29</v>
      </c>
      <c r="I250" s="3" t="s">
        <v>61</v>
      </c>
      <c r="J250" s="3" t="s">
        <v>71</v>
      </c>
      <c r="K250" s="3" t="s">
        <v>28</v>
      </c>
      <c r="L250" s="4">
        <v>0</v>
      </c>
      <c r="M250" s="15" t="str">
        <f>TEXT(bd_Main[[#This Row],[Data]],"ddd")</f>
        <v>dom</v>
      </c>
      <c r="N250" s="15" t="str">
        <f>TEXT(bd_Main[[#This Row],[Data]],"MMM")</f>
        <v>fev</v>
      </c>
      <c r="O250" s="15" t="str">
        <f>TEXT(bd_Main[[#This Row],[Data]],"AAAA")</f>
        <v>2021</v>
      </c>
    </row>
    <row r="251" spans="1:15" x14ac:dyDescent="0.25">
      <c r="A251" s="7">
        <f t="shared" si="3"/>
        <v>250</v>
      </c>
      <c r="B251" s="2">
        <v>44251</v>
      </c>
      <c r="C251" s="3" t="s">
        <v>96</v>
      </c>
      <c r="D251" s="3" t="s">
        <v>74</v>
      </c>
      <c r="E251" s="3" t="s">
        <v>14</v>
      </c>
      <c r="F251" s="3" t="s">
        <v>87</v>
      </c>
      <c r="G251" s="3">
        <v>0</v>
      </c>
      <c r="H251" s="3" t="s">
        <v>21</v>
      </c>
      <c r="I251" s="3" t="s">
        <v>61</v>
      </c>
      <c r="J251" s="3" t="s">
        <v>69</v>
      </c>
      <c r="K251" s="3" t="s">
        <v>23</v>
      </c>
      <c r="L251" s="4">
        <v>0</v>
      </c>
      <c r="M251" s="15" t="str">
        <f>TEXT(bd_Main[[#This Row],[Data]],"ddd")</f>
        <v>qua</v>
      </c>
      <c r="N251" s="15" t="str">
        <f>TEXT(bd_Main[[#This Row],[Data]],"MMM")</f>
        <v>fev</v>
      </c>
      <c r="O251" s="15" t="str">
        <f>TEXT(bd_Main[[#This Row],[Data]],"AAAA")</f>
        <v>2021</v>
      </c>
    </row>
    <row r="252" spans="1:15" x14ac:dyDescent="0.25">
      <c r="A252" s="7">
        <f t="shared" si="3"/>
        <v>251</v>
      </c>
      <c r="B252" s="2">
        <v>44253</v>
      </c>
      <c r="C252" s="3" t="s">
        <v>95</v>
      </c>
      <c r="D252" s="3" t="s">
        <v>74</v>
      </c>
      <c r="E252" s="3" t="s">
        <v>17</v>
      </c>
      <c r="F252" s="3" t="s">
        <v>84</v>
      </c>
      <c r="G252" s="3">
        <v>0</v>
      </c>
      <c r="H252" s="3" t="s">
        <v>30</v>
      </c>
      <c r="I252" s="3" t="s">
        <v>64</v>
      </c>
      <c r="J252" s="3" t="s">
        <v>70</v>
      </c>
      <c r="K252" s="3" t="s">
        <v>22</v>
      </c>
      <c r="L252" s="4">
        <v>2801</v>
      </c>
      <c r="M252" s="15" t="str">
        <f>TEXT(bd_Main[[#This Row],[Data]],"ddd")</f>
        <v>sex</v>
      </c>
      <c r="N252" s="15" t="str">
        <f>TEXT(bd_Main[[#This Row],[Data]],"MMM")</f>
        <v>fev</v>
      </c>
      <c r="O252" s="15" t="str">
        <f>TEXT(bd_Main[[#This Row],[Data]],"AAAA")</f>
        <v>2021</v>
      </c>
    </row>
    <row r="253" spans="1:15" x14ac:dyDescent="0.25">
      <c r="A253" s="7">
        <f t="shared" si="3"/>
        <v>252</v>
      </c>
      <c r="B253" s="2">
        <v>44255</v>
      </c>
      <c r="C253" s="3" t="s">
        <v>96</v>
      </c>
      <c r="D253" s="3" t="s">
        <v>74</v>
      </c>
      <c r="E253" s="3" t="s">
        <v>17</v>
      </c>
      <c r="F253" s="3" t="s">
        <v>84</v>
      </c>
      <c r="G253" s="3">
        <v>0</v>
      </c>
      <c r="H253" s="3" t="s">
        <v>11</v>
      </c>
      <c r="I253" s="3" t="s">
        <v>61</v>
      </c>
      <c r="J253" s="3" t="s">
        <v>69</v>
      </c>
      <c r="K253" s="3" t="s">
        <v>23</v>
      </c>
      <c r="L253" s="4">
        <v>0</v>
      </c>
      <c r="M253" s="15" t="str">
        <f>TEXT(bd_Main[[#This Row],[Data]],"ddd")</f>
        <v>dom</v>
      </c>
      <c r="N253" s="15" t="str">
        <f>TEXT(bd_Main[[#This Row],[Data]],"MMM")</f>
        <v>fev</v>
      </c>
      <c r="O253" s="15" t="str">
        <f>TEXT(bd_Main[[#This Row],[Data]],"AAAA")</f>
        <v>2021</v>
      </c>
    </row>
    <row r="254" spans="1:15" x14ac:dyDescent="0.25">
      <c r="A254" s="7">
        <f t="shared" si="3"/>
        <v>253</v>
      </c>
      <c r="B254" s="2">
        <v>44256</v>
      </c>
      <c r="C254" s="3" t="s">
        <v>95</v>
      </c>
      <c r="D254" s="3" t="s">
        <v>74</v>
      </c>
      <c r="E254" s="3" t="s">
        <v>20</v>
      </c>
      <c r="F254" s="3" t="s">
        <v>87</v>
      </c>
      <c r="G254" s="3">
        <v>0</v>
      </c>
      <c r="H254" s="3" t="s">
        <v>32</v>
      </c>
      <c r="I254" s="3" t="s">
        <v>61</v>
      </c>
      <c r="J254" s="3" t="s">
        <v>70</v>
      </c>
      <c r="K254" s="3" t="s">
        <v>23</v>
      </c>
      <c r="L254" s="4">
        <v>0</v>
      </c>
      <c r="M254" s="15" t="str">
        <f>TEXT(bd_Main[[#This Row],[Data]],"ddd")</f>
        <v>seg</v>
      </c>
      <c r="N254" s="15" t="str">
        <f>TEXT(bd_Main[[#This Row],[Data]],"MMM")</f>
        <v>mar</v>
      </c>
      <c r="O254" s="15" t="str">
        <f>TEXT(bd_Main[[#This Row],[Data]],"AAAA")</f>
        <v>2021</v>
      </c>
    </row>
    <row r="255" spans="1:15" x14ac:dyDescent="0.25">
      <c r="A255" s="7">
        <f t="shared" si="3"/>
        <v>254</v>
      </c>
      <c r="B255" s="2">
        <v>44257</v>
      </c>
      <c r="C255" s="3" t="s">
        <v>33</v>
      </c>
      <c r="D255" s="3" t="s">
        <v>74</v>
      </c>
      <c r="E255" s="3" t="s">
        <v>17</v>
      </c>
      <c r="F255" s="3" t="s">
        <v>83</v>
      </c>
      <c r="G255" s="3">
        <v>0</v>
      </c>
      <c r="H255" s="3" t="s">
        <v>29</v>
      </c>
      <c r="I255" s="3" t="s">
        <v>61</v>
      </c>
      <c r="J255" s="3" t="s">
        <v>69</v>
      </c>
      <c r="K255" s="3" t="s">
        <v>28</v>
      </c>
      <c r="L255" s="4">
        <v>0</v>
      </c>
      <c r="M255" s="15" t="str">
        <f>TEXT(bd_Main[[#This Row],[Data]],"ddd")</f>
        <v>ter</v>
      </c>
      <c r="N255" s="15" t="str">
        <f>TEXT(bd_Main[[#This Row],[Data]],"MMM")</f>
        <v>mar</v>
      </c>
      <c r="O255" s="15" t="str">
        <f>TEXT(bd_Main[[#This Row],[Data]],"AAAA")</f>
        <v>2021</v>
      </c>
    </row>
    <row r="256" spans="1:15" x14ac:dyDescent="0.25">
      <c r="A256" s="7">
        <f t="shared" si="3"/>
        <v>255</v>
      </c>
      <c r="B256" s="2">
        <v>44259</v>
      </c>
      <c r="C256" s="3" t="s">
        <v>92</v>
      </c>
      <c r="D256" s="3" t="s">
        <v>74</v>
      </c>
      <c r="E256" s="3" t="s">
        <v>10</v>
      </c>
      <c r="F256" s="3" t="s">
        <v>84</v>
      </c>
      <c r="G256" s="3">
        <v>0</v>
      </c>
      <c r="H256" s="3" t="s">
        <v>25</v>
      </c>
      <c r="I256" s="3" t="s">
        <v>63</v>
      </c>
      <c r="J256" s="3" t="s">
        <v>69</v>
      </c>
      <c r="K256" s="3" t="s">
        <v>26</v>
      </c>
      <c r="L256" s="4">
        <v>382</v>
      </c>
      <c r="M256" s="15" t="str">
        <f>TEXT(bd_Main[[#This Row],[Data]],"ddd")</f>
        <v>qui</v>
      </c>
      <c r="N256" s="15" t="str">
        <f>TEXT(bd_Main[[#This Row],[Data]],"MMM")</f>
        <v>mar</v>
      </c>
      <c r="O256" s="15" t="str">
        <f>TEXT(bd_Main[[#This Row],[Data]],"AAAA")</f>
        <v>2021</v>
      </c>
    </row>
    <row r="257" spans="1:15" x14ac:dyDescent="0.25">
      <c r="A257" s="7">
        <f t="shared" si="3"/>
        <v>256</v>
      </c>
      <c r="B257" s="2">
        <v>44260</v>
      </c>
      <c r="C257" s="3" t="s">
        <v>96</v>
      </c>
      <c r="D257" s="3" t="s">
        <v>74</v>
      </c>
      <c r="E257" s="3" t="s">
        <v>10</v>
      </c>
      <c r="F257" s="3" t="s">
        <v>85</v>
      </c>
      <c r="G257" s="3">
        <v>1.5</v>
      </c>
      <c r="H257" s="3" t="s">
        <v>25</v>
      </c>
      <c r="I257" s="3" t="s">
        <v>62</v>
      </c>
      <c r="J257" s="3" t="s">
        <v>69</v>
      </c>
      <c r="K257" s="3" t="s">
        <v>22</v>
      </c>
      <c r="L257" s="4">
        <v>1177</v>
      </c>
      <c r="M257" s="15" t="str">
        <f>TEXT(bd_Main[[#This Row],[Data]],"ddd")</f>
        <v>sex</v>
      </c>
      <c r="N257" s="15" t="str">
        <f>TEXT(bd_Main[[#This Row],[Data]],"MMM")</f>
        <v>mar</v>
      </c>
      <c r="O257" s="15" t="str">
        <f>TEXT(bd_Main[[#This Row],[Data]],"AAAA")</f>
        <v>2021</v>
      </c>
    </row>
    <row r="258" spans="1:15" x14ac:dyDescent="0.25">
      <c r="A258" s="7">
        <f t="shared" ref="A258:A321" si="4">ROW(A258)-1</f>
        <v>257</v>
      </c>
      <c r="B258" s="2">
        <v>44260</v>
      </c>
      <c r="C258" s="3" t="s">
        <v>95</v>
      </c>
      <c r="D258" s="3" t="s">
        <v>74</v>
      </c>
      <c r="E258" s="3" t="s">
        <v>10</v>
      </c>
      <c r="F258" s="3" t="s">
        <v>83</v>
      </c>
      <c r="G258" s="3">
        <v>0</v>
      </c>
      <c r="H258" s="3" t="s">
        <v>11</v>
      </c>
      <c r="I258" s="3" t="s">
        <v>63</v>
      </c>
      <c r="J258" s="3" t="s">
        <v>71</v>
      </c>
      <c r="K258" s="3" t="s">
        <v>28</v>
      </c>
      <c r="L258" s="4">
        <v>308</v>
      </c>
      <c r="M258" s="15" t="str">
        <f>TEXT(bd_Main[[#This Row],[Data]],"ddd")</f>
        <v>sex</v>
      </c>
      <c r="N258" s="15" t="str">
        <f>TEXT(bd_Main[[#This Row],[Data]],"MMM")</f>
        <v>mar</v>
      </c>
      <c r="O258" s="15" t="str">
        <f>TEXT(bd_Main[[#This Row],[Data]],"AAAA")</f>
        <v>2021</v>
      </c>
    </row>
    <row r="259" spans="1:15" x14ac:dyDescent="0.25">
      <c r="A259" s="7">
        <f t="shared" si="4"/>
        <v>258</v>
      </c>
      <c r="B259" s="2">
        <v>44266</v>
      </c>
      <c r="C259" s="3" t="s">
        <v>90</v>
      </c>
      <c r="D259" s="3" t="s">
        <v>75</v>
      </c>
      <c r="E259" s="3" t="s">
        <v>14</v>
      </c>
      <c r="F259" s="3" t="s">
        <v>83</v>
      </c>
      <c r="G259" s="3">
        <v>0</v>
      </c>
      <c r="H259" s="3" t="s">
        <v>24</v>
      </c>
      <c r="I259" s="3" t="s">
        <v>63</v>
      </c>
      <c r="J259" s="3" t="s">
        <v>71</v>
      </c>
      <c r="K259" s="3" t="s">
        <v>12</v>
      </c>
      <c r="L259" s="4">
        <v>84</v>
      </c>
      <c r="M259" s="15" t="str">
        <f>TEXT(bd_Main[[#This Row],[Data]],"ddd")</f>
        <v>qui</v>
      </c>
      <c r="N259" s="15" t="str">
        <f>TEXT(bd_Main[[#This Row],[Data]],"MMM")</f>
        <v>mar</v>
      </c>
      <c r="O259" s="15" t="str">
        <f>TEXT(bd_Main[[#This Row],[Data]],"AAAA")</f>
        <v>2021</v>
      </c>
    </row>
    <row r="260" spans="1:15" x14ac:dyDescent="0.25">
      <c r="A260" s="7">
        <f t="shared" si="4"/>
        <v>259</v>
      </c>
      <c r="B260" s="2">
        <v>44267</v>
      </c>
      <c r="C260" s="3" t="s">
        <v>96</v>
      </c>
      <c r="D260" s="3" t="s">
        <v>74</v>
      </c>
      <c r="E260" s="3" t="s">
        <v>17</v>
      </c>
      <c r="F260" s="3" t="s">
        <v>84</v>
      </c>
      <c r="G260" s="3">
        <v>0</v>
      </c>
      <c r="H260" s="3" t="s">
        <v>29</v>
      </c>
      <c r="I260" s="3" t="s">
        <v>64</v>
      </c>
      <c r="J260" s="3" t="s">
        <v>71</v>
      </c>
      <c r="K260" s="3" t="s">
        <v>26</v>
      </c>
      <c r="L260" s="4">
        <v>501</v>
      </c>
      <c r="M260" s="15" t="str">
        <f>TEXT(bd_Main[[#This Row],[Data]],"ddd")</f>
        <v>sex</v>
      </c>
      <c r="N260" s="15" t="str">
        <f>TEXT(bd_Main[[#This Row],[Data]],"MMM")</f>
        <v>mar</v>
      </c>
      <c r="O260" s="15" t="str">
        <f>TEXT(bd_Main[[#This Row],[Data]],"AAAA")</f>
        <v>2021</v>
      </c>
    </row>
    <row r="261" spans="1:15" x14ac:dyDescent="0.25">
      <c r="A261" s="7">
        <f t="shared" si="4"/>
        <v>260</v>
      </c>
      <c r="B261" s="2">
        <v>44269</v>
      </c>
      <c r="C261" s="3" t="s">
        <v>13</v>
      </c>
      <c r="D261" s="3" t="s">
        <v>74</v>
      </c>
      <c r="E261" s="3" t="s">
        <v>10</v>
      </c>
      <c r="F261" s="3" t="s">
        <v>84</v>
      </c>
      <c r="G261" s="3">
        <v>0</v>
      </c>
      <c r="H261" s="3" t="s">
        <v>32</v>
      </c>
      <c r="I261" s="3" t="s">
        <v>64</v>
      </c>
      <c r="J261" s="3" t="s">
        <v>70</v>
      </c>
      <c r="K261" s="3" t="s">
        <v>23</v>
      </c>
      <c r="L261" s="4">
        <v>4587</v>
      </c>
      <c r="M261" s="15" t="str">
        <f>TEXT(bd_Main[[#This Row],[Data]],"ddd")</f>
        <v>dom</v>
      </c>
      <c r="N261" s="15" t="str">
        <f>TEXT(bd_Main[[#This Row],[Data]],"MMM")</f>
        <v>mar</v>
      </c>
      <c r="O261" s="15" t="str">
        <f>TEXT(bd_Main[[#This Row],[Data]],"AAAA")</f>
        <v>2021</v>
      </c>
    </row>
    <row r="262" spans="1:15" x14ac:dyDescent="0.25">
      <c r="A262" s="7">
        <f t="shared" si="4"/>
        <v>261</v>
      </c>
      <c r="B262" s="2">
        <v>44269</v>
      </c>
      <c r="C262" s="3" t="s">
        <v>91</v>
      </c>
      <c r="D262" s="3" t="s">
        <v>74</v>
      </c>
      <c r="E262" s="3" t="s">
        <v>10</v>
      </c>
      <c r="F262" s="3" t="s">
        <v>81</v>
      </c>
      <c r="G262" s="3">
        <v>0</v>
      </c>
      <c r="H262" s="3" t="s">
        <v>18</v>
      </c>
      <c r="I262" s="3" t="s">
        <v>61</v>
      </c>
      <c r="J262" s="3" t="s">
        <v>69</v>
      </c>
      <c r="K262" s="3" t="s">
        <v>12</v>
      </c>
      <c r="L262" s="4">
        <v>0</v>
      </c>
      <c r="M262" s="15" t="str">
        <f>TEXT(bd_Main[[#This Row],[Data]],"ddd")</f>
        <v>dom</v>
      </c>
      <c r="N262" s="15" t="str">
        <f>TEXT(bd_Main[[#This Row],[Data]],"MMM")</f>
        <v>mar</v>
      </c>
      <c r="O262" s="15" t="str">
        <f>TEXT(bd_Main[[#This Row],[Data]],"AAAA")</f>
        <v>2021</v>
      </c>
    </row>
    <row r="263" spans="1:15" x14ac:dyDescent="0.25">
      <c r="A263" s="7">
        <f t="shared" si="4"/>
        <v>262</v>
      </c>
      <c r="B263" s="2">
        <v>44270</v>
      </c>
      <c r="C263" s="3" t="s">
        <v>95</v>
      </c>
      <c r="D263" s="3" t="s">
        <v>74</v>
      </c>
      <c r="E263" s="3" t="s">
        <v>17</v>
      </c>
      <c r="F263" s="3" t="s">
        <v>82</v>
      </c>
      <c r="G263" s="3">
        <v>0</v>
      </c>
      <c r="H263" s="3" t="s">
        <v>32</v>
      </c>
      <c r="I263" s="3" t="s">
        <v>64</v>
      </c>
      <c r="J263" s="3" t="s">
        <v>71</v>
      </c>
      <c r="K263" s="3" t="s">
        <v>22</v>
      </c>
      <c r="L263" s="4">
        <v>3871</v>
      </c>
      <c r="M263" s="15" t="str">
        <f>TEXT(bd_Main[[#This Row],[Data]],"ddd")</f>
        <v>seg</v>
      </c>
      <c r="N263" s="15" t="str">
        <f>TEXT(bd_Main[[#This Row],[Data]],"MMM")</f>
        <v>mar</v>
      </c>
      <c r="O263" s="15" t="str">
        <f>TEXT(bd_Main[[#This Row],[Data]],"AAAA")</f>
        <v>2021</v>
      </c>
    </row>
    <row r="264" spans="1:15" x14ac:dyDescent="0.25">
      <c r="A264" s="7">
        <f t="shared" si="4"/>
        <v>263</v>
      </c>
      <c r="B264" s="2">
        <v>44272</v>
      </c>
      <c r="C264" s="3" t="s">
        <v>33</v>
      </c>
      <c r="D264" s="3" t="s">
        <v>74</v>
      </c>
      <c r="E264" s="3" t="s">
        <v>14</v>
      </c>
      <c r="F264" s="3" t="s">
        <v>79</v>
      </c>
      <c r="G264" s="3">
        <v>1.5</v>
      </c>
      <c r="H264" s="3" t="s">
        <v>21</v>
      </c>
      <c r="I264" s="3" t="s">
        <v>62</v>
      </c>
      <c r="J264" s="3" t="s">
        <v>69</v>
      </c>
      <c r="K264" s="3" t="s">
        <v>26</v>
      </c>
      <c r="L264" s="4">
        <v>4781</v>
      </c>
      <c r="M264" s="15" t="str">
        <f>TEXT(bd_Main[[#This Row],[Data]],"ddd")</f>
        <v>qua</v>
      </c>
      <c r="N264" s="15" t="str">
        <f>TEXT(bd_Main[[#This Row],[Data]],"MMM")</f>
        <v>mar</v>
      </c>
      <c r="O264" s="15" t="str">
        <f>TEXT(bd_Main[[#This Row],[Data]],"AAAA")</f>
        <v>2021</v>
      </c>
    </row>
    <row r="265" spans="1:15" x14ac:dyDescent="0.25">
      <c r="A265" s="7">
        <f t="shared" si="4"/>
        <v>264</v>
      </c>
      <c r="B265" s="2">
        <v>44272</v>
      </c>
      <c r="C265" s="3" t="s">
        <v>93</v>
      </c>
      <c r="D265" s="3" t="s">
        <v>75</v>
      </c>
      <c r="E265" s="3" t="s">
        <v>10</v>
      </c>
      <c r="F265" s="3" t="s">
        <v>79</v>
      </c>
      <c r="G265" s="3">
        <v>5</v>
      </c>
      <c r="H265" s="3" t="s">
        <v>11</v>
      </c>
      <c r="I265" s="3" t="s">
        <v>62</v>
      </c>
      <c r="J265" s="3" t="s">
        <v>70</v>
      </c>
      <c r="K265" s="3" t="s">
        <v>26</v>
      </c>
      <c r="L265" s="4">
        <v>4373</v>
      </c>
      <c r="M265" s="15" t="str">
        <f>TEXT(bd_Main[[#This Row],[Data]],"ddd")</f>
        <v>qua</v>
      </c>
      <c r="N265" s="15" t="str">
        <f>TEXT(bd_Main[[#This Row],[Data]],"MMM")</f>
        <v>mar</v>
      </c>
      <c r="O265" s="15" t="str">
        <f>TEXT(bd_Main[[#This Row],[Data]],"AAAA")</f>
        <v>2021</v>
      </c>
    </row>
    <row r="266" spans="1:15" x14ac:dyDescent="0.25">
      <c r="A266" s="7">
        <f t="shared" si="4"/>
        <v>265</v>
      </c>
      <c r="B266" s="2">
        <v>44273</v>
      </c>
      <c r="C266" s="3" t="s">
        <v>94</v>
      </c>
      <c r="D266" s="3" t="s">
        <v>74</v>
      </c>
      <c r="E266" s="3" t="s">
        <v>10</v>
      </c>
      <c r="F266" s="3" t="s">
        <v>84</v>
      </c>
      <c r="G266" s="3">
        <v>0.5</v>
      </c>
      <c r="H266" s="3" t="s">
        <v>30</v>
      </c>
      <c r="I266" s="3" t="s">
        <v>62</v>
      </c>
      <c r="J266" s="3" t="s">
        <v>69</v>
      </c>
      <c r="K266" s="3" t="s">
        <v>27</v>
      </c>
      <c r="L266" s="4">
        <v>2854</v>
      </c>
      <c r="M266" s="15" t="str">
        <f>TEXT(bd_Main[[#This Row],[Data]],"ddd")</f>
        <v>qui</v>
      </c>
      <c r="N266" s="15" t="str">
        <f>TEXT(bd_Main[[#This Row],[Data]],"MMM")</f>
        <v>mar</v>
      </c>
      <c r="O266" s="15" t="str">
        <f>TEXT(bd_Main[[#This Row],[Data]],"AAAA")</f>
        <v>2021</v>
      </c>
    </row>
    <row r="267" spans="1:15" x14ac:dyDescent="0.25">
      <c r="A267" s="7">
        <f t="shared" si="4"/>
        <v>266</v>
      </c>
      <c r="B267" s="2">
        <v>44274</v>
      </c>
      <c r="C267" s="3" t="s">
        <v>93</v>
      </c>
      <c r="D267" s="3" t="s">
        <v>75</v>
      </c>
      <c r="E267" s="3" t="s">
        <v>10</v>
      </c>
      <c r="F267" s="3" t="s">
        <v>83</v>
      </c>
      <c r="G267" s="3">
        <v>0</v>
      </c>
      <c r="H267" s="3" t="s">
        <v>15</v>
      </c>
      <c r="I267" s="3" t="s">
        <v>63</v>
      </c>
      <c r="J267" s="3" t="s">
        <v>69</v>
      </c>
      <c r="K267" s="3" t="s">
        <v>31</v>
      </c>
      <c r="L267" s="4">
        <v>217</v>
      </c>
      <c r="M267" s="15" t="str">
        <f>TEXT(bd_Main[[#This Row],[Data]],"ddd")</f>
        <v>sex</v>
      </c>
      <c r="N267" s="15" t="str">
        <f>TEXT(bd_Main[[#This Row],[Data]],"MMM")</f>
        <v>mar</v>
      </c>
      <c r="O267" s="15" t="str">
        <f>TEXT(bd_Main[[#This Row],[Data]],"AAAA")</f>
        <v>2021</v>
      </c>
    </row>
    <row r="268" spans="1:15" x14ac:dyDescent="0.25">
      <c r="A268" s="7">
        <f t="shared" si="4"/>
        <v>267</v>
      </c>
      <c r="B268" s="2">
        <v>44277</v>
      </c>
      <c r="C268" s="3" t="s">
        <v>90</v>
      </c>
      <c r="D268" s="3" t="s">
        <v>74</v>
      </c>
      <c r="E268" s="3" t="s">
        <v>20</v>
      </c>
      <c r="F268" s="3" t="s">
        <v>79</v>
      </c>
      <c r="G268" s="3">
        <v>0</v>
      </c>
      <c r="H268" s="3" t="s">
        <v>29</v>
      </c>
      <c r="I268" s="3" t="s">
        <v>64</v>
      </c>
      <c r="J268" s="3" t="s">
        <v>71</v>
      </c>
      <c r="K268" s="3" t="s">
        <v>31</v>
      </c>
      <c r="L268" s="4">
        <v>804</v>
      </c>
      <c r="M268" s="15" t="str">
        <f>TEXT(bd_Main[[#This Row],[Data]],"ddd")</f>
        <v>seg</v>
      </c>
      <c r="N268" s="15" t="str">
        <f>TEXT(bd_Main[[#This Row],[Data]],"MMM")</f>
        <v>mar</v>
      </c>
      <c r="O268" s="15" t="str">
        <f>TEXT(bd_Main[[#This Row],[Data]],"AAAA")</f>
        <v>2021</v>
      </c>
    </row>
    <row r="269" spans="1:15" x14ac:dyDescent="0.25">
      <c r="A269" s="7">
        <f t="shared" si="4"/>
        <v>268</v>
      </c>
      <c r="B269" s="2">
        <v>44278</v>
      </c>
      <c r="C269" s="3" t="s">
        <v>93</v>
      </c>
      <c r="D269" s="3" t="s">
        <v>74</v>
      </c>
      <c r="E269" s="3" t="s">
        <v>20</v>
      </c>
      <c r="F269" s="3" t="s">
        <v>87</v>
      </c>
      <c r="G269" s="3">
        <v>0</v>
      </c>
      <c r="H269" s="3" t="s">
        <v>32</v>
      </c>
      <c r="I269" s="3" t="s">
        <v>64</v>
      </c>
      <c r="J269" s="3" t="s">
        <v>69</v>
      </c>
      <c r="K269" s="3" t="s">
        <v>28</v>
      </c>
      <c r="L269" s="4">
        <v>668</v>
      </c>
      <c r="M269" s="15" t="str">
        <f>TEXT(bd_Main[[#This Row],[Data]],"ddd")</f>
        <v>ter</v>
      </c>
      <c r="N269" s="15" t="str">
        <f>TEXT(bd_Main[[#This Row],[Data]],"MMM")</f>
        <v>mar</v>
      </c>
      <c r="O269" s="15" t="str">
        <f>TEXT(bd_Main[[#This Row],[Data]],"AAAA")</f>
        <v>2021</v>
      </c>
    </row>
    <row r="270" spans="1:15" x14ac:dyDescent="0.25">
      <c r="A270" s="7">
        <f t="shared" si="4"/>
        <v>269</v>
      </c>
      <c r="B270" s="2">
        <v>44286</v>
      </c>
      <c r="C270" s="3" t="s">
        <v>91</v>
      </c>
      <c r="D270" s="3" t="s">
        <v>74</v>
      </c>
      <c r="E270" s="3" t="s">
        <v>14</v>
      </c>
      <c r="F270" s="3" t="s">
        <v>80</v>
      </c>
      <c r="G270" s="3">
        <v>0</v>
      </c>
      <c r="H270" s="3" t="s">
        <v>29</v>
      </c>
      <c r="I270" s="3" t="s">
        <v>61</v>
      </c>
      <c r="J270" s="3" t="s">
        <v>70</v>
      </c>
      <c r="K270" s="3" t="s">
        <v>19</v>
      </c>
      <c r="L270" s="4">
        <v>0</v>
      </c>
      <c r="M270" s="15" t="str">
        <f>TEXT(bd_Main[[#This Row],[Data]],"ddd")</f>
        <v>qua</v>
      </c>
      <c r="N270" s="15" t="str">
        <f>TEXT(bd_Main[[#This Row],[Data]],"MMM")</f>
        <v>mar</v>
      </c>
      <c r="O270" s="15" t="str">
        <f>TEXT(bd_Main[[#This Row],[Data]],"AAAA")</f>
        <v>2021</v>
      </c>
    </row>
    <row r="271" spans="1:15" x14ac:dyDescent="0.25">
      <c r="A271" s="7">
        <f t="shared" si="4"/>
        <v>270</v>
      </c>
      <c r="B271" s="2">
        <v>44286</v>
      </c>
      <c r="C271" s="3" t="s">
        <v>94</v>
      </c>
      <c r="D271" s="3" t="s">
        <v>75</v>
      </c>
      <c r="E271" s="3" t="s">
        <v>17</v>
      </c>
      <c r="F271" s="3" t="s">
        <v>82</v>
      </c>
      <c r="G271" s="3">
        <v>5</v>
      </c>
      <c r="H271" s="3" t="s">
        <v>21</v>
      </c>
      <c r="I271" s="3" t="s">
        <v>62</v>
      </c>
      <c r="J271" s="3" t="s">
        <v>71</v>
      </c>
      <c r="K271" s="3" t="s">
        <v>31</v>
      </c>
      <c r="L271" s="4">
        <v>1993</v>
      </c>
      <c r="M271" s="15" t="str">
        <f>TEXT(bd_Main[[#This Row],[Data]],"ddd")</f>
        <v>qua</v>
      </c>
      <c r="N271" s="15" t="str">
        <f>TEXT(bd_Main[[#This Row],[Data]],"MMM")</f>
        <v>mar</v>
      </c>
      <c r="O271" s="15" t="str">
        <f>TEXT(bd_Main[[#This Row],[Data]],"AAAA")</f>
        <v>2021</v>
      </c>
    </row>
    <row r="272" spans="1:15" x14ac:dyDescent="0.25">
      <c r="A272" s="7">
        <f t="shared" si="4"/>
        <v>271</v>
      </c>
      <c r="B272" s="2">
        <v>44287</v>
      </c>
      <c r="C272" s="3" t="s">
        <v>96</v>
      </c>
      <c r="D272" s="3" t="s">
        <v>74</v>
      </c>
      <c r="E272" s="3" t="s">
        <v>10</v>
      </c>
      <c r="F272" s="3" t="s">
        <v>82</v>
      </c>
      <c r="G272" s="3">
        <v>0</v>
      </c>
      <c r="H272" s="3" t="s">
        <v>15</v>
      </c>
      <c r="I272" s="3" t="s">
        <v>64</v>
      </c>
      <c r="J272" s="3" t="s">
        <v>71</v>
      </c>
      <c r="K272" s="3" t="s">
        <v>16</v>
      </c>
      <c r="L272" s="4">
        <v>4836</v>
      </c>
      <c r="M272" s="15" t="str">
        <f>TEXT(bd_Main[[#This Row],[Data]],"ddd")</f>
        <v>qui</v>
      </c>
      <c r="N272" s="15" t="str">
        <f>TEXT(bd_Main[[#This Row],[Data]],"MMM")</f>
        <v>abr</v>
      </c>
      <c r="O272" s="15" t="str">
        <f>TEXT(bd_Main[[#This Row],[Data]],"AAAA")</f>
        <v>2021</v>
      </c>
    </row>
    <row r="273" spans="1:15" x14ac:dyDescent="0.25">
      <c r="A273" s="7">
        <f t="shared" si="4"/>
        <v>272</v>
      </c>
      <c r="B273" s="2">
        <v>44287</v>
      </c>
      <c r="C273" s="3" t="s">
        <v>94</v>
      </c>
      <c r="D273" s="3" t="s">
        <v>74</v>
      </c>
      <c r="E273" s="3" t="s">
        <v>10</v>
      </c>
      <c r="F273" s="3" t="s">
        <v>86</v>
      </c>
      <c r="G273" s="3">
        <v>0</v>
      </c>
      <c r="H273" s="3" t="s">
        <v>32</v>
      </c>
      <c r="I273" s="3" t="s">
        <v>61</v>
      </c>
      <c r="J273" s="3" t="s">
        <v>70</v>
      </c>
      <c r="K273" s="3" t="s">
        <v>27</v>
      </c>
      <c r="L273" s="4">
        <v>0</v>
      </c>
      <c r="M273" s="15" t="str">
        <f>TEXT(bd_Main[[#This Row],[Data]],"ddd")</f>
        <v>qui</v>
      </c>
      <c r="N273" s="15" t="str">
        <f>TEXT(bd_Main[[#This Row],[Data]],"MMM")</f>
        <v>abr</v>
      </c>
      <c r="O273" s="15" t="str">
        <f>TEXT(bd_Main[[#This Row],[Data]],"AAAA")</f>
        <v>2021</v>
      </c>
    </row>
    <row r="274" spans="1:15" x14ac:dyDescent="0.25">
      <c r="A274" s="7">
        <f t="shared" si="4"/>
        <v>273</v>
      </c>
      <c r="B274" s="2">
        <v>44288</v>
      </c>
      <c r="C274" s="3" t="s">
        <v>96</v>
      </c>
      <c r="D274" s="3" t="s">
        <v>75</v>
      </c>
      <c r="E274" s="3" t="s">
        <v>10</v>
      </c>
      <c r="F274" s="3" t="s">
        <v>84</v>
      </c>
      <c r="G274" s="3">
        <v>0</v>
      </c>
      <c r="H274" s="3" t="s">
        <v>21</v>
      </c>
      <c r="I274" s="3" t="s">
        <v>63</v>
      </c>
      <c r="J274" s="3" t="s">
        <v>71</v>
      </c>
      <c r="K274" s="3" t="s">
        <v>19</v>
      </c>
      <c r="L274" s="4">
        <v>342</v>
      </c>
      <c r="M274" s="15" t="str">
        <f>TEXT(bd_Main[[#This Row],[Data]],"ddd")</f>
        <v>sex</v>
      </c>
      <c r="N274" s="15" t="str">
        <f>TEXT(bd_Main[[#This Row],[Data]],"MMM")</f>
        <v>abr</v>
      </c>
      <c r="O274" s="15" t="str">
        <f>TEXT(bd_Main[[#This Row],[Data]],"AAAA")</f>
        <v>2021</v>
      </c>
    </row>
    <row r="275" spans="1:15" x14ac:dyDescent="0.25">
      <c r="A275" s="7">
        <f t="shared" si="4"/>
        <v>274</v>
      </c>
      <c r="B275" s="2">
        <v>44292</v>
      </c>
      <c r="C275" s="3" t="s">
        <v>13</v>
      </c>
      <c r="D275" s="3" t="s">
        <v>74</v>
      </c>
      <c r="E275" s="3" t="s">
        <v>20</v>
      </c>
      <c r="F275" s="3" t="s">
        <v>83</v>
      </c>
      <c r="G275" s="3">
        <v>5</v>
      </c>
      <c r="H275" s="3" t="s">
        <v>32</v>
      </c>
      <c r="I275" s="3" t="s">
        <v>62</v>
      </c>
      <c r="J275" s="3" t="s">
        <v>70</v>
      </c>
      <c r="K275" s="3" t="s">
        <v>16</v>
      </c>
      <c r="L275" s="4">
        <v>2468</v>
      </c>
      <c r="M275" s="15" t="str">
        <f>TEXT(bd_Main[[#This Row],[Data]],"ddd")</f>
        <v>ter</v>
      </c>
      <c r="N275" s="15" t="str">
        <f>TEXT(bd_Main[[#This Row],[Data]],"MMM")</f>
        <v>abr</v>
      </c>
      <c r="O275" s="15" t="str">
        <f>TEXT(bd_Main[[#This Row],[Data]],"AAAA")</f>
        <v>2021</v>
      </c>
    </row>
    <row r="276" spans="1:15" x14ac:dyDescent="0.25">
      <c r="A276" s="7">
        <f t="shared" si="4"/>
        <v>275</v>
      </c>
      <c r="B276" s="2">
        <v>44294</v>
      </c>
      <c r="C276" s="3" t="s">
        <v>95</v>
      </c>
      <c r="D276" s="3" t="s">
        <v>74</v>
      </c>
      <c r="E276" s="3" t="s">
        <v>10</v>
      </c>
      <c r="F276" s="3" t="s">
        <v>85</v>
      </c>
      <c r="G276" s="3">
        <v>0</v>
      </c>
      <c r="H276" s="3" t="s">
        <v>11</v>
      </c>
      <c r="I276" s="3" t="s">
        <v>64</v>
      </c>
      <c r="J276" s="3" t="s">
        <v>71</v>
      </c>
      <c r="K276" s="3" t="s">
        <v>16</v>
      </c>
      <c r="L276" s="4">
        <v>2990</v>
      </c>
      <c r="M276" s="15" t="str">
        <f>TEXT(bd_Main[[#This Row],[Data]],"ddd")</f>
        <v>qui</v>
      </c>
      <c r="N276" s="15" t="str">
        <f>TEXT(bd_Main[[#This Row],[Data]],"MMM")</f>
        <v>abr</v>
      </c>
      <c r="O276" s="15" t="str">
        <f>TEXT(bd_Main[[#This Row],[Data]],"AAAA")</f>
        <v>2021</v>
      </c>
    </row>
    <row r="277" spans="1:15" x14ac:dyDescent="0.25">
      <c r="A277" s="7">
        <f t="shared" si="4"/>
        <v>276</v>
      </c>
      <c r="B277" s="2">
        <v>44295</v>
      </c>
      <c r="C277" s="3" t="s">
        <v>13</v>
      </c>
      <c r="D277" s="3" t="s">
        <v>74</v>
      </c>
      <c r="E277" s="3" t="s">
        <v>20</v>
      </c>
      <c r="F277" s="3" t="s">
        <v>87</v>
      </c>
      <c r="G277" s="3">
        <v>0</v>
      </c>
      <c r="H277" s="3" t="s">
        <v>29</v>
      </c>
      <c r="I277" s="3" t="s">
        <v>64</v>
      </c>
      <c r="J277" s="3" t="s">
        <v>70</v>
      </c>
      <c r="K277" s="3" t="s">
        <v>22</v>
      </c>
      <c r="L277" s="4">
        <v>4570</v>
      </c>
      <c r="M277" s="15" t="str">
        <f>TEXT(bd_Main[[#This Row],[Data]],"ddd")</f>
        <v>sex</v>
      </c>
      <c r="N277" s="15" t="str">
        <f>TEXT(bd_Main[[#This Row],[Data]],"MMM")</f>
        <v>abr</v>
      </c>
      <c r="O277" s="15" t="str">
        <f>TEXT(bd_Main[[#This Row],[Data]],"AAAA")</f>
        <v>2021</v>
      </c>
    </row>
    <row r="278" spans="1:15" x14ac:dyDescent="0.25">
      <c r="A278" s="7">
        <f t="shared" si="4"/>
        <v>277</v>
      </c>
      <c r="B278" s="2">
        <v>44297</v>
      </c>
      <c r="C278" s="3" t="s">
        <v>95</v>
      </c>
      <c r="D278" s="3" t="s">
        <v>74</v>
      </c>
      <c r="E278" s="3" t="s">
        <v>14</v>
      </c>
      <c r="F278" s="3" t="s">
        <v>83</v>
      </c>
      <c r="G278" s="3">
        <v>0</v>
      </c>
      <c r="H278" s="3" t="s">
        <v>32</v>
      </c>
      <c r="I278" s="3" t="s">
        <v>64</v>
      </c>
      <c r="J278" s="3" t="s">
        <v>71</v>
      </c>
      <c r="K278" s="3" t="s">
        <v>28</v>
      </c>
      <c r="L278" s="4">
        <v>2022</v>
      </c>
      <c r="M278" s="15" t="str">
        <f>TEXT(bd_Main[[#This Row],[Data]],"ddd")</f>
        <v>dom</v>
      </c>
      <c r="N278" s="15" t="str">
        <f>TEXT(bd_Main[[#This Row],[Data]],"MMM")</f>
        <v>abr</v>
      </c>
      <c r="O278" s="15" t="str">
        <f>TEXT(bd_Main[[#This Row],[Data]],"AAAA")</f>
        <v>2021</v>
      </c>
    </row>
    <row r="279" spans="1:15" x14ac:dyDescent="0.25">
      <c r="A279" s="7">
        <f t="shared" si="4"/>
        <v>278</v>
      </c>
      <c r="B279" s="2">
        <v>44299</v>
      </c>
      <c r="C279" s="3" t="s">
        <v>94</v>
      </c>
      <c r="D279" s="3" t="s">
        <v>74</v>
      </c>
      <c r="E279" s="3" t="s">
        <v>20</v>
      </c>
      <c r="F279" s="3" t="s">
        <v>82</v>
      </c>
      <c r="G279" s="3">
        <v>4</v>
      </c>
      <c r="H279" s="3" t="s">
        <v>18</v>
      </c>
      <c r="I279" s="3" t="s">
        <v>62</v>
      </c>
      <c r="J279" s="3" t="s">
        <v>69</v>
      </c>
      <c r="K279" s="3" t="s">
        <v>31</v>
      </c>
      <c r="L279" s="4">
        <v>2705</v>
      </c>
      <c r="M279" s="15" t="str">
        <f>TEXT(bd_Main[[#This Row],[Data]],"ddd")</f>
        <v>ter</v>
      </c>
      <c r="N279" s="15" t="str">
        <f>TEXT(bd_Main[[#This Row],[Data]],"MMM")</f>
        <v>abr</v>
      </c>
      <c r="O279" s="15" t="str">
        <f>TEXT(bd_Main[[#This Row],[Data]],"AAAA")</f>
        <v>2021</v>
      </c>
    </row>
    <row r="280" spans="1:15" x14ac:dyDescent="0.25">
      <c r="A280" s="7">
        <f t="shared" si="4"/>
        <v>279</v>
      </c>
      <c r="B280" s="2">
        <v>44300</v>
      </c>
      <c r="C280" s="3" t="s">
        <v>96</v>
      </c>
      <c r="D280" s="3" t="s">
        <v>74</v>
      </c>
      <c r="E280" s="3" t="s">
        <v>20</v>
      </c>
      <c r="F280" s="3" t="s">
        <v>82</v>
      </c>
      <c r="G280" s="3">
        <v>2.5</v>
      </c>
      <c r="H280" s="3" t="s">
        <v>32</v>
      </c>
      <c r="I280" s="3" t="s">
        <v>62</v>
      </c>
      <c r="J280" s="3" t="s">
        <v>69</v>
      </c>
      <c r="K280" s="3" t="s">
        <v>22</v>
      </c>
      <c r="L280" s="4">
        <v>819</v>
      </c>
      <c r="M280" s="15" t="str">
        <f>TEXT(bd_Main[[#This Row],[Data]],"ddd")</f>
        <v>qua</v>
      </c>
      <c r="N280" s="15" t="str">
        <f>TEXT(bd_Main[[#This Row],[Data]],"MMM")</f>
        <v>abr</v>
      </c>
      <c r="O280" s="15" t="str">
        <f>TEXT(bd_Main[[#This Row],[Data]],"AAAA")</f>
        <v>2021</v>
      </c>
    </row>
    <row r="281" spans="1:15" x14ac:dyDescent="0.25">
      <c r="A281" s="7">
        <f t="shared" si="4"/>
        <v>280</v>
      </c>
      <c r="B281" s="2">
        <v>44301</v>
      </c>
      <c r="C281" s="3" t="s">
        <v>94</v>
      </c>
      <c r="D281" s="3" t="s">
        <v>75</v>
      </c>
      <c r="E281" s="3" t="s">
        <v>10</v>
      </c>
      <c r="F281" s="3" t="s">
        <v>79</v>
      </c>
      <c r="G281" s="3">
        <v>0</v>
      </c>
      <c r="H281" s="3" t="s">
        <v>32</v>
      </c>
      <c r="I281" s="3" t="s">
        <v>61</v>
      </c>
      <c r="J281" s="3" t="s">
        <v>71</v>
      </c>
      <c r="K281" s="3" t="s">
        <v>19</v>
      </c>
      <c r="L281" s="4">
        <v>0</v>
      </c>
      <c r="M281" s="15" t="str">
        <f>TEXT(bd_Main[[#This Row],[Data]],"ddd")</f>
        <v>qui</v>
      </c>
      <c r="N281" s="15" t="str">
        <f>TEXT(bd_Main[[#This Row],[Data]],"MMM")</f>
        <v>abr</v>
      </c>
      <c r="O281" s="15" t="str">
        <f>TEXT(bd_Main[[#This Row],[Data]],"AAAA")</f>
        <v>2021</v>
      </c>
    </row>
    <row r="282" spans="1:15" x14ac:dyDescent="0.25">
      <c r="A282" s="7">
        <f t="shared" si="4"/>
        <v>281</v>
      </c>
      <c r="B282" s="2">
        <v>44302</v>
      </c>
      <c r="C282" s="3" t="s">
        <v>33</v>
      </c>
      <c r="D282" s="3" t="s">
        <v>74</v>
      </c>
      <c r="E282" s="3" t="s">
        <v>20</v>
      </c>
      <c r="F282" s="3" t="s">
        <v>85</v>
      </c>
      <c r="G282" s="3">
        <v>0</v>
      </c>
      <c r="H282" s="3" t="s">
        <v>24</v>
      </c>
      <c r="I282" s="3" t="s">
        <v>63</v>
      </c>
      <c r="J282" s="3" t="s">
        <v>71</v>
      </c>
      <c r="K282" s="3" t="s">
        <v>23</v>
      </c>
      <c r="L282" s="4">
        <v>37</v>
      </c>
      <c r="M282" s="15" t="str">
        <f>TEXT(bd_Main[[#This Row],[Data]],"ddd")</f>
        <v>sex</v>
      </c>
      <c r="N282" s="15" t="str">
        <f>TEXT(bd_Main[[#This Row],[Data]],"MMM")</f>
        <v>abr</v>
      </c>
      <c r="O282" s="15" t="str">
        <f>TEXT(bd_Main[[#This Row],[Data]],"AAAA")</f>
        <v>2021</v>
      </c>
    </row>
    <row r="283" spans="1:15" x14ac:dyDescent="0.25">
      <c r="A283" s="7">
        <f t="shared" si="4"/>
        <v>282</v>
      </c>
      <c r="B283" s="2">
        <v>44303</v>
      </c>
      <c r="C283" s="3" t="s">
        <v>90</v>
      </c>
      <c r="D283" s="3" t="s">
        <v>74</v>
      </c>
      <c r="E283" s="3" t="s">
        <v>14</v>
      </c>
      <c r="F283" s="3" t="s">
        <v>87</v>
      </c>
      <c r="G283" s="3">
        <v>0</v>
      </c>
      <c r="H283" s="3" t="s">
        <v>15</v>
      </c>
      <c r="I283" s="3" t="s">
        <v>64</v>
      </c>
      <c r="J283" s="3" t="s">
        <v>71</v>
      </c>
      <c r="K283" s="3" t="s">
        <v>19</v>
      </c>
      <c r="L283" s="4">
        <v>4741</v>
      </c>
      <c r="M283" s="15" t="str">
        <f>TEXT(bd_Main[[#This Row],[Data]],"ddd")</f>
        <v>sáb</v>
      </c>
      <c r="N283" s="15" t="str">
        <f>TEXT(bd_Main[[#This Row],[Data]],"MMM")</f>
        <v>abr</v>
      </c>
      <c r="O283" s="15" t="str">
        <f>TEXT(bd_Main[[#This Row],[Data]],"AAAA")</f>
        <v>2021</v>
      </c>
    </row>
    <row r="284" spans="1:15" x14ac:dyDescent="0.25">
      <c r="A284" s="7">
        <f t="shared" si="4"/>
        <v>283</v>
      </c>
      <c r="B284" s="2">
        <v>44306</v>
      </c>
      <c r="C284" s="3" t="s">
        <v>95</v>
      </c>
      <c r="D284" s="3" t="s">
        <v>74</v>
      </c>
      <c r="E284" s="3" t="s">
        <v>10</v>
      </c>
      <c r="F284" s="3" t="s">
        <v>85</v>
      </c>
      <c r="G284" s="3">
        <v>0</v>
      </c>
      <c r="H284" s="3" t="s">
        <v>29</v>
      </c>
      <c r="I284" s="3" t="s">
        <v>64</v>
      </c>
      <c r="J284" s="3" t="s">
        <v>70</v>
      </c>
      <c r="K284" s="3" t="s">
        <v>23</v>
      </c>
      <c r="L284" s="4">
        <v>2063</v>
      </c>
      <c r="M284" s="15" t="str">
        <f>TEXT(bd_Main[[#This Row],[Data]],"ddd")</f>
        <v>ter</v>
      </c>
      <c r="N284" s="15" t="str">
        <f>TEXT(bd_Main[[#This Row],[Data]],"MMM")</f>
        <v>abr</v>
      </c>
      <c r="O284" s="15" t="str">
        <f>TEXT(bd_Main[[#This Row],[Data]],"AAAA")</f>
        <v>2021</v>
      </c>
    </row>
    <row r="285" spans="1:15" x14ac:dyDescent="0.25">
      <c r="A285" s="7">
        <f t="shared" si="4"/>
        <v>284</v>
      </c>
      <c r="B285" s="2">
        <v>44306</v>
      </c>
      <c r="C285" s="3" t="s">
        <v>13</v>
      </c>
      <c r="D285" s="3" t="s">
        <v>74</v>
      </c>
      <c r="E285" s="3" t="s">
        <v>20</v>
      </c>
      <c r="F285" s="3" t="s">
        <v>86</v>
      </c>
      <c r="G285" s="3">
        <v>0</v>
      </c>
      <c r="H285" s="3" t="s">
        <v>11</v>
      </c>
      <c r="I285" s="3" t="s">
        <v>63</v>
      </c>
      <c r="J285" s="3" t="s">
        <v>70</v>
      </c>
      <c r="K285" s="3" t="s">
        <v>12</v>
      </c>
      <c r="L285" s="4">
        <v>359</v>
      </c>
      <c r="M285" s="15" t="str">
        <f>TEXT(bd_Main[[#This Row],[Data]],"ddd")</f>
        <v>ter</v>
      </c>
      <c r="N285" s="15" t="str">
        <f>TEXT(bd_Main[[#This Row],[Data]],"MMM")</f>
        <v>abr</v>
      </c>
      <c r="O285" s="15" t="str">
        <f>TEXT(bd_Main[[#This Row],[Data]],"AAAA")</f>
        <v>2021</v>
      </c>
    </row>
    <row r="286" spans="1:15" x14ac:dyDescent="0.25">
      <c r="A286" s="7">
        <f t="shared" si="4"/>
        <v>285</v>
      </c>
      <c r="B286" s="2">
        <v>44307</v>
      </c>
      <c r="C286" s="3" t="s">
        <v>92</v>
      </c>
      <c r="D286" s="3" t="s">
        <v>74</v>
      </c>
      <c r="E286" s="3" t="s">
        <v>14</v>
      </c>
      <c r="F286" s="3" t="s">
        <v>80</v>
      </c>
      <c r="G286" s="3">
        <v>5</v>
      </c>
      <c r="H286" s="3" t="s">
        <v>30</v>
      </c>
      <c r="I286" s="3" t="s">
        <v>62</v>
      </c>
      <c r="J286" s="3" t="s">
        <v>70</v>
      </c>
      <c r="K286" s="3" t="s">
        <v>31</v>
      </c>
      <c r="L286" s="4">
        <v>1119</v>
      </c>
      <c r="M286" s="15" t="str">
        <f>TEXT(bd_Main[[#This Row],[Data]],"ddd")</f>
        <v>qua</v>
      </c>
      <c r="N286" s="15" t="str">
        <f>TEXT(bd_Main[[#This Row],[Data]],"MMM")</f>
        <v>abr</v>
      </c>
      <c r="O286" s="15" t="str">
        <f>TEXT(bd_Main[[#This Row],[Data]],"AAAA")</f>
        <v>2021</v>
      </c>
    </row>
    <row r="287" spans="1:15" x14ac:dyDescent="0.25">
      <c r="A287" s="7">
        <f t="shared" si="4"/>
        <v>286</v>
      </c>
      <c r="B287" s="2">
        <v>44310</v>
      </c>
      <c r="C287" s="3" t="s">
        <v>95</v>
      </c>
      <c r="D287" s="3" t="s">
        <v>74</v>
      </c>
      <c r="E287" s="3" t="s">
        <v>17</v>
      </c>
      <c r="F287" s="3" t="s">
        <v>85</v>
      </c>
      <c r="G287" s="3">
        <v>3</v>
      </c>
      <c r="H287" s="3" t="s">
        <v>25</v>
      </c>
      <c r="I287" s="3" t="s">
        <v>62</v>
      </c>
      <c r="J287" s="3" t="s">
        <v>70</v>
      </c>
      <c r="K287" s="3" t="s">
        <v>23</v>
      </c>
      <c r="L287" s="4">
        <v>2851</v>
      </c>
      <c r="M287" s="15" t="str">
        <f>TEXT(bd_Main[[#This Row],[Data]],"ddd")</f>
        <v>sáb</v>
      </c>
      <c r="N287" s="15" t="str">
        <f>TEXT(bd_Main[[#This Row],[Data]],"MMM")</f>
        <v>abr</v>
      </c>
      <c r="O287" s="15" t="str">
        <f>TEXT(bd_Main[[#This Row],[Data]],"AAAA")</f>
        <v>2021</v>
      </c>
    </row>
    <row r="288" spans="1:15" x14ac:dyDescent="0.25">
      <c r="A288" s="7">
        <f t="shared" si="4"/>
        <v>287</v>
      </c>
      <c r="B288" s="2">
        <v>44311</v>
      </c>
      <c r="C288" s="3" t="s">
        <v>95</v>
      </c>
      <c r="D288" s="3" t="s">
        <v>74</v>
      </c>
      <c r="E288" s="3" t="s">
        <v>20</v>
      </c>
      <c r="F288" s="3" t="s">
        <v>80</v>
      </c>
      <c r="G288" s="3">
        <v>0</v>
      </c>
      <c r="H288" s="3" t="s">
        <v>30</v>
      </c>
      <c r="I288" s="3" t="s">
        <v>61</v>
      </c>
      <c r="J288" s="3" t="s">
        <v>71</v>
      </c>
      <c r="K288" s="3" t="s">
        <v>23</v>
      </c>
      <c r="L288" s="4">
        <v>0</v>
      </c>
      <c r="M288" s="15" t="str">
        <f>TEXT(bd_Main[[#This Row],[Data]],"ddd")</f>
        <v>dom</v>
      </c>
      <c r="N288" s="15" t="str">
        <f>TEXT(bd_Main[[#This Row],[Data]],"MMM")</f>
        <v>abr</v>
      </c>
      <c r="O288" s="15" t="str">
        <f>TEXT(bd_Main[[#This Row],[Data]],"AAAA")</f>
        <v>2021</v>
      </c>
    </row>
    <row r="289" spans="1:15" x14ac:dyDescent="0.25">
      <c r="A289" s="7">
        <f t="shared" si="4"/>
        <v>288</v>
      </c>
      <c r="B289" s="2">
        <v>44317</v>
      </c>
      <c r="C289" s="3" t="s">
        <v>96</v>
      </c>
      <c r="D289" s="3" t="s">
        <v>74</v>
      </c>
      <c r="E289" s="3" t="s">
        <v>14</v>
      </c>
      <c r="F289" s="3" t="s">
        <v>79</v>
      </c>
      <c r="G289" s="3">
        <v>0</v>
      </c>
      <c r="H289" s="3" t="s">
        <v>29</v>
      </c>
      <c r="I289" s="3" t="s">
        <v>64</v>
      </c>
      <c r="J289" s="3" t="s">
        <v>69</v>
      </c>
      <c r="K289" s="3" t="s">
        <v>12</v>
      </c>
      <c r="L289" s="4">
        <v>1872</v>
      </c>
      <c r="M289" s="15" t="str">
        <f>TEXT(bd_Main[[#This Row],[Data]],"ddd")</f>
        <v>sáb</v>
      </c>
      <c r="N289" s="15" t="str">
        <f>TEXT(bd_Main[[#This Row],[Data]],"MMM")</f>
        <v>mai</v>
      </c>
      <c r="O289" s="15" t="str">
        <f>TEXT(bd_Main[[#This Row],[Data]],"AAAA")</f>
        <v>2021</v>
      </c>
    </row>
    <row r="290" spans="1:15" x14ac:dyDescent="0.25">
      <c r="A290" s="7">
        <f t="shared" si="4"/>
        <v>289</v>
      </c>
      <c r="B290" s="2">
        <v>44320</v>
      </c>
      <c r="C290" s="3" t="s">
        <v>90</v>
      </c>
      <c r="D290" s="3" t="s">
        <v>74</v>
      </c>
      <c r="E290" s="3" t="s">
        <v>10</v>
      </c>
      <c r="F290" s="3" t="s">
        <v>81</v>
      </c>
      <c r="G290" s="3">
        <v>3</v>
      </c>
      <c r="H290" s="3" t="s">
        <v>15</v>
      </c>
      <c r="I290" s="3" t="s">
        <v>62</v>
      </c>
      <c r="J290" s="3" t="s">
        <v>70</v>
      </c>
      <c r="K290" s="3" t="s">
        <v>23</v>
      </c>
      <c r="L290" s="4">
        <v>4303</v>
      </c>
      <c r="M290" s="15" t="str">
        <f>TEXT(bd_Main[[#This Row],[Data]],"ddd")</f>
        <v>ter</v>
      </c>
      <c r="N290" s="15" t="str">
        <f>TEXT(bd_Main[[#This Row],[Data]],"MMM")</f>
        <v>mai</v>
      </c>
      <c r="O290" s="15" t="str">
        <f>TEXT(bd_Main[[#This Row],[Data]],"AAAA")</f>
        <v>2021</v>
      </c>
    </row>
    <row r="291" spans="1:15" x14ac:dyDescent="0.25">
      <c r="A291" s="7">
        <f t="shared" si="4"/>
        <v>290</v>
      </c>
      <c r="B291" s="2">
        <v>44322</v>
      </c>
      <c r="C291" s="3" t="s">
        <v>92</v>
      </c>
      <c r="D291" s="3" t="s">
        <v>74</v>
      </c>
      <c r="E291" s="3" t="s">
        <v>10</v>
      </c>
      <c r="F291" s="3" t="s">
        <v>79</v>
      </c>
      <c r="G291" s="3">
        <v>0</v>
      </c>
      <c r="H291" s="3" t="s">
        <v>11</v>
      </c>
      <c r="I291" s="3" t="s">
        <v>64</v>
      </c>
      <c r="J291" s="3" t="s">
        <v>69</v>
      </c>
      <c r="K291" s="3" t="s">
        <v>31</v>
      </c>
      <c r="L291" s="4">
        <v>1884</v>
      </c>
      <c r="M291" s="15" t="str">
        <f>TEXT(bd_Main[[#This Row],[Data]],"ddd")</f>
        <v>qui</v>
      </c>
      <c r="N291" s="15" t="str">
        <f>TEXT(bd_Main[[#This Row],[Data]],"MMM")</f>
        <v>mai</v>
      </c>
      <c r="O291" s="15" t="str">
        <f>TEXT(bd_Main[[#This Row],[Data]],"AAAA")</f>
        <v>2021</v>
      </c>
    </row>
    <row r="292" spans="1:15" x14ac:dyDescent="0.25">
      <c r="A292" s="7">
        <f t="shared" si="4"/>
        <v>291</v>
      </c>
      <c r="B292" s="2">
        <v>44323</v>
      </c>
      <c r="C292" s="3" t="s">
        <v>95</v>
      </c>
      <c r="D292" s="3" t="s">
        <v>74</v>
      </c>
      <c r="E292" s="3" t="s">
        <v>10</v>
      </c>
      <c r="F292" s="3" t="s">
        <v>85</v>
      </c>
      <c r="G292" s="3">
        <v>0.5</v>
      </c>
      <c r="H292" s="3" t="s">
        <v>18</v>
      </c>
      <c r="I292" s="3" t="s">
        <v>62</v>
      </c>
      <c r="J292" s="3" t="s">
        <v>70</v>
      </c>
      <c r="K292" s="3" t="s">
        <v>19</v>
      </c>
      <c r="L292" s="4">
        <v>1084</v>
      </c>
      <c r="M292" s="15" t="str">
        <f>TEXT(bd_Main[[#This Row],[Data]],"ddd")</f>
        <v>sex</v>
      </c>
      <c r="N292" s="15" t="str">
        <f>TEXT(bd_Main[[#This Row],[Data]],"MMM")</f>
        <v>mai</v>
      </c>
      <c r="O292" s="15" t="str">
        <f>TEXT(bd_Main[[#This Row],[Data]],"AAAA")</f>
        <v>2021</v>
      </c>
    </row>
    <row r="293" spans="1:15" x14ac:dyDescent="0.25">
      <c r="A293" s="7">
        <f t="shared" si="4"/>
        <v>292</v>
      </c>
      <c r="B293" s="2">
        <v>44324</v>
      </c>
      <c r="C293" s="3" t="s">
        <v>96</v>
      </c>
      <c r="D293" s="3" t="s">
        <v>74</v>
      </c>
      <c r="E293" s="3" t="s">
        <v>14</v>
      </c>
      <c r="F293" s="3" t="s">
        <v>80</v>
      </c>
      <c r="G293" s="3">
        <v>0</v>
      </c>
      <c r="H293" s="3" t="s">
        <v>21</v>
      </c>
      <c r="I293" s="3" t="s">
        <v>61</v>
      </c>
      <c r="J293" s="3" t="s">
        <v>70</v>
      </c>
      <c r="K293" s="3" t="s">
        <v>22</v>
      </c>
      <c r="L293" s="4">
        <v>0</v>
      </c>
      <c r="M293" s="15" t="str">
        <f>TEXT(bd_Main[[#This Row],[Data]],"ddd")</f>
        <v>sáb</v>
      </c>
      <c r="N293" s="15" t="str">
        <f>TEXT(bd_Main[[#This Row],[Data]],"MMM")</f>
        <v>mai</v>
      </c>
      <c r="O293" s="15" t="str">
        <f>TEXT(bd_Main[[#This Row],[Data]],"AAAA")</f>
        <v>2021</v>
      </c>
    </row>
    <row r="294" spans="1:15" x14ac:dyDescent="0.25">
      <c r="A294" s="7">
        <f t="shared" si="4"/>
        <v>293</v>
      </c>
      <c r="B294" s="2">
        <v>44324</v>
      </c>
      <c r="C294" s="3" t="s">
        <v>95</v>
      </c>
      <c r="D294" s="3" t="s">
        <v>74</v>
      </c>
      <c r="E294" s="3" t="s">
        <v>17</v>
      </c>
      <c r="F294" s="3" t="s">
        <v>80</v>
      </c>
      <c r="G294" s="3">
        <v>0</v>
      </c>
      <c r="H294" s="3" t="s">
        <v>18</v>
      </c>
      <c r="I294" s="3" t="s">
        <v>63</v>
      </c>
      <c r="J294" s="3" t="s">
        <v>71</v>
      </c>
      <c r="K294" s="3" t="s">
        <v>26</v>
      </c>
      <c r="L294" s="4">
        <v>152</v>
      </c>
      <c r="M294" s="15" t="str">
        <f>TEXT(bd_Main[[#This Row],[Data]],"ddd")</f>
        <v>sáb</v>
      </c>
      <c r="N294" s="15" t="str">
        <f>TEXT(bd_Main[[#This Row],[Data]],"MMM")</f>
        <v>mai</v>
      </c>
      <c r="O294" s="15" t="str">
        <f>TEXT(bd_Main[[#This Row],[Data]],"AAAA")</f>
        <v>2021</v>
      </c>
    </row>
    <row r="295" spans="1:15" x14ac:dyDescent="0.25">
      <c r="A295" s="7">
        <f t="shared" si="4"/>
        <v>294</v>
      </c>
      <c r="B295" s="2">
        <v>44326</v>
      </c>
      <c r="C295" s="3" t="s">
        <v>95</v>
      </c>
      <c r="D295" s="3" t="s">
        <v>74</v>
      </c>
      <c r="E295" s="3" t="s">
        <v>10</v>
      </c>
      <c r="F295" s="3" t="s">
        <v>85</v>
      </c>
      <c r="G295" s="3">
        <v>0</v>
      </c>
      <c r="H295" s="3" t="s">
        <v>30</v>
      </c>
      <c r="I295" s="3" t="s">
        <v>61</v>
      </c>
      <c r="J295" s="3" t="s">
        <v>69</v>
      </c>
      <c r="K295" s="3" t="s">
        <v>31</v>
      </c>
      <c r="L295" s="4">
        <v>0</v>
      </c>
      <c r="M295" s="15" t="str">
        <f>TEXT(bd_Main[[#This Row],[Data]],"ddd")</f>
        <v>seg</v>
      </c>
      <c r="N295" s="15" t="str">
        <f>TEXT(bd_Main[[#This Row],[Data]],"MMM")</f>
        <v>mai</v>
      </c>
      <c r="O295" s="15" t="str">
        <f>TEXT(bd_Main[[#This Row],[Data]],"AAAA")</f>
        <v>2021</v>
      </c>
    </row>
    <row r="296" spans="1:15" x14ac:dyDescent="0.25">
      <c r="A296" s="7">
        <f t="shared" si="4"/>
        <v>295</v>
      </c>
      <c r="B296" s="2">
        <v>44328</v>
      </c>
      <c r="C296" s="3" t="s">
        <v>92</v>
      </c>
      <c r="D296" s="3" t="s">
        <v>74</v>
      </c>
      <c r="E296" s="3" t="s">
        <v>10</v>
      </c>
      <c r="F296" s="3" t="s">
        <v>82</v>
      </c>
      <c r="G296" s="3">
        <v>0</v>
      </c>
      <c r="H296" s="3" t="s">
        <v>21</v>
      </c>
      <c r="I296" s="3" t="s">
        <v>61</v>
      </c>
      <c r="J296" s="3" t="s">
        <v>69</v>
      </c>
      <c r="K296" s="3" t="s">
        <v>23</v>
      </c>
      <c r="L296" s="4">
        <v>0</v>
      </c>
      <c r="M296" s="15" t="str">
        <f>TEXT(bd_Main[[#This Row],[Data]],"ddd")</f>
        <v>qua</v>
      </c>
      <c r="N296" s="15" t="str">
        <f>TEXT(bd_Main[[#This Row],[Data]],"MMM")</f>
        <v>mai</v>
      </c>
      <c r="O296" s="15" t="str">
        <f>TEXT(bd_Main[[#This Row],[Data]],"AAAA")</f>
        <v>2021</v>
      </c>
    </row>
    <row r="297" spans="1:15" x14ac:dyDescent="0.25">
      <c r="A297" s="7">
        <f t="shared" si="4"/>
        <v>296</v>
      </c>
      <c r="B297" s="2">
        <v>44335</v>
      </c>
      <c r="C297" s="3" t="s">
        <v>93</v>
      </c>
      <c r="D297" s="3" t="s">
        <v>75</v>
      </c>
      <c r="E297" s="3" t="s">
        <v>17</v>
      </c>
      <c r="F297" s="3" t="s">
        <v>83</v>
      </c>
      <c r="G297" s="3">
        <v>0</v>
      </c>
      <c r="H297" s="3" t="s">
        <v>30</v>
      </c>
      <c r="I297" s="3" t="s">
        <v>64</v>
      </c>
      <c r="J297" s="3" t="s">
        <v>69</v>
      </c>
      <c r="K297" s="3" t="s">
        <v>27</v>
      </c>
      <c r="L297" s="4">
        <v>3286</v>
      </c>
      <c r="M297" s="15" t="str">
        <f>TEXT(bd_Main[[#This Row],[Data]],"ddd")</f>
        <v>qua</v>
      </c>
      <c r="N297" s="15" t="str">
        <f>TEXT(bd_Main[[#This Row],[Data]],"MMM")</f>
        <v>mai</v>
      </c>
      <c r="O297" s="15" t="str">
        <f>TEXT(bd_Main[[#This Row],[Data]],"AAAA")</f>
        <v>2021</v>
      </c>
    </row>
    <row r="298" spans="1:15" x14ac:dyDescent="0.25">
      <c r="A298" s="7">
        <f t="shared" si="4"/>
        <v>297</v>
      </c>
      <c r="B298" s="2">
        <v>44335</v>
      </c>
      <c r="C298" s="3" t="s">
        <v>33</v>
      </c>
      <c r="D298" s="3" t="s">
        <v>74</v>
      </c>
      <c r="E298" s="3" t="s">
        <v>10</v>
      </c>
      <c r="F298" s="3" t="s">
        <v>80</v>
      </c>
      <c r="G298" s="3">
        <v>0</v>
      </c>
      <c r="H298" s="3" t="s">
        <v>24</v>
      </c>
      <c r="I298" s="3" t="s">
        <v>61</v>
      </c>
      <c r="J298" s="3" t="s">
        <v>70</v>
      </c>
      <c r="K298" s="3" t="s">
        <v>31</v>
      </c>
      <c r="L298" s="4">
        <v>0</v>
      </c>
      <c r="M298" s="15" t="str">
        <f>TEXT(bd_Main[[#This Row],[Data]],"ddd")</f>
        <v>qua</v>
      </c>
      <c r="N298" s="15" t="str">
        <f>TEXT(bd_Main[[#This Row],[Data]],"MMM")</f>
        <v>mai</v>
      </c>
      <c r="O298" s="15" t="str">
        <f>TEXT(bd_Main[[#This Row],[Data]],"AAAA")</f>
        <v>2021</v>
      </c>
    </row>
    <row r="299" spans="1:15" x14ac:dyDescent="0.25">
      <c r="A299" s="7">
        <f t="shared" si="4"/>
        <v>298</v>
      </c>
      <c r="B299" s="2">
        <v>44336</v>
      </c>
      <c r="C299" s="3" t="s">
        <v>94</v>
      </c>
      <c r="D299" s="3" t="s">
        <v>74</v>
      </c>
      <c r="E299" s="3" t="s">
        <v>14</v>
      </c>
      <c r="F299" s="3" t="s">
        <v>82</v>
      </c>
      <c r="G299" s="3">
        <v>0</v>
      </c>
      <c r="H299" s="3" t="s">
        <v>11</v>
      </c>
      <c r="I299" s="3" t="s">
        <v>61</v>
      </c>
      <c r="J299" s="3" t="s">
        <v>69</v>
      </c>
      <c r="K299" s="3" t="s">
        <v>12</v>
      </c>
      <c r="L299" s="4">
        <v>0</v>
      </c>
      <c r="M299" s="15" t="str">
        <f>TEXT(bd_Main[[#This Row],[Data]],"ddd")</f>
        <v>qui</v>
      </c>
      <c r="N299" s="15" t="str">
        <f>TEXT(bd_Main[[#This Row],[Data]],"MMM")</f>
        <v>mai</v>
      </c>
      <c r="O299" s="15" t="str">
        <f>TEXT(bd_Main[[#This Row],[Data]],"AAAA")</f>
        <v>2021</v>
      </c>
    </row>
    <row r="300" spans="1:15" x14ac:dyDescent="0.25">
      <c r="A300" s="7">
        <f t="shared" si="4"/>
        <v>299</v>
      </c>
      <c r="B300" s="2">
        <v>44336</v>
      </c>
      <c r="C300" s="3" t="s">
        <v>96</v>
      </c>
      <c r="D300" s="3" t="s">
        <v>74</v>
      </c>
      <c r="E300" s="3" t="s">
        <v>10</v>
      </c>
      <c r="F300" s="3" t="s">
        <v>81</v>
      </c>
      <c r="G300" s="3">
        <v>0</v>
      </c>
      <c r="H300" s="3" t="s">
        <v>18</v>
      </c>
      <c r="I300" s="3" t="s">
        <v>63</v>
      </c>
      <c r="J300" s="3" t="s">
        <v>71</v>
      </c>
      <c r="K300" s="3" t="s">
        <v>19</v>
      </c>
      <c r="L300" s="4">
        <v>60</v>
      </c>
      <c r="M300" s="15" t="str">
        <f>TEXT(bd_Main[[#This Row],[Data]],"ddd")</f>
        <v>qui</v>
      </c>
      <c r="N300" s="15" t="str">
        <f>TEXT(bd_Main[[#This Row],[Data]],"MMM")</f>
        <v>mai</v>
      </c>
      <c r="O300" s="15" t="str">
        <f>TEXT(bd_Main[[#This Row],[Data]],"AAAA")</f>
        <v>2021</v>
      </c>
    </row>
    <row r="301" spans="1:15" x14ac:dyDescent="0.25">
      <c r="A301" s="7">
        <f t="shared" si="4"/>
        <v>300</v>
      </c>
      <c r="B301" s="2">
        <v>44340</v>
      </c>
      <c r="C301" s="3" t="s">
        <v>94</v>
      </c>
      <c r="D301" s="3" t="s">
        <v>75</v>
      </c>
      <c r="E301" s="3" t="s">
        <v>20</v>
      </c>
      <c r="F301" s="3" t="s">
        <v>79</v>
      </c>
      <c r="G301" s="3">
        <v>0</v>
      </c>
      <c r="H301" s="3" t="s">
        <v>30</v>
      </c>
      <c r="I301" s="3" t="s">
        <v>61</v>
      </c>
      <c r="J301" s="3" t="s">
        <v>69</v>
      </c>
      <c r="K301" s="3" t="s">
        <v>19</v>
      </c>
      <c r="L301" s="4">
        <v>0</v>
      </c>
      <c r="M301" s="15" t="str">
        <f>TEXT(bd_Main[[#This Row],[Data]],"ddd")</f>
        <v>seg</v>
      </c>
      <c r="N301" s="15" t="str">
        <f>TEXT(bd_Main[[#This Row],[Data]],"MMM")</f>
        <v>mai</v>
      </c>
      <c r="O301" s="15" t="str">
        <f>TEXT(bd_Main[[#This Row],[Data]],"AAAA")</f>
        <v>2021</v>
      </c>
    </row>
    <row r="302" spans="1:15" x14ac:dyDescent="0.25">
      <c r="A302" s="7">
        <f t="shared" si="4"/>
        <v>301</v>
      </c>
      <c r="B302" s="2">
        <v>44342</v>
      </c>
      <c r="C302" s="3" t="s">
        <v>93</v>
      </c>
      <c r="D302" s="3" t="s">
        <v>74</v>
      </c>
      <c r="E302" s="3" t="s">
        <v>17</v>
      </c>
      <c r="F302" s="3" t="s">
        <v>81</v>
      </c>
      <c r="G302" s="3">
        <v>0</v>
      </c>
      <c r="H302" s="3" t="s">
        <v>30</v>
      </c>
      <c r="I302" s="3" t="s">
        <v>61</v>
      </c>
      <c r="J302" s="3" t="s">
        <v>69</v>
      </c>
      <c r="K302" s="3" t="s">
        <v>12</v>
      </c>
      <c r="L302" s="4">
        <v>0</v>
      </c>
      <c r="M302" s="15" t="str">
        <f>TEXT(bd_Main[[#This Row],[Data]],"ddd")</f>
        <v>qua</v>
      </c>
      <c r="N302" s="15" t="str">
        <f>TEXT(bd_Main[[#This Row],[Data]],"MMM")</f>
        <v>mai</v>
      </c>
      <c r="O302" s="15" t="str">
        <f>TEXT(bd_Main[[#This Row],[Data]],"AAAA")</f>
        <v>2021</v>
      </c>
    </row>
    <row r="303" spans="1:15" x14ac:dyDescent="0.25">
      <c r="A303" s="7">
        <f t="shared" si="4"/>
        <v>302</v>
      </c>
      <c r="B303" s="2">
        <v>44342</v>
      </c>
      <c r="C303" s="3" t="s">
        <v>93</v>
      </c>
      <c r="D303" s="3" t="s">
        <v>74</v>
      </c>
      <c r="E303" s="3" t="s">
        <v>20</v>
      </c>
      <c r="F303" s="3" t="s">
        <v>85</v>
      </c>
      <c r="G303" s="3">
        <v>0</v>
      </c>
      <c r="H303" s="3" t="s">
        <v>21</v>
      </c>
      <c r="I303" s="3" t="s">
        <v>64</v>
      </c>
      <c r="J303" s="3" t="s">
        <v>71</v>
      </c>
      <c r="K303" s="3" t="s">
        <v>22</v>
      </c>
      <c r="L303" s="4">
        <v>4213</v>
      </c>
      <c r="M303" s="15" t="str">
        <f>TEXT(bd_Main[[#This Row],[Data]],"ddd")</f>
        <v>qua</v>
      </c>
      <c r="N303" s="15" t="str">
        <f>TEXT(bd_Main[[#This Row],[Data]],"MMM")</f>
        <v>mai</v>
      </c>
      <c r="O303" s="15" t="str">
        <f>TEXT(bd_Main[[#This Row],[Data]],"AAAA")</f>
        <v>2021</v>
      </c>
    </row>
    <row r="304" spans="1:15" x14ac:dyDescent="0.25">
      <c r="A304" s="7">
        <f t="shared" si="4"/>
        <v>303</v>
      </c>
      <c r="B304" s="2">
        <v>44345</v>
      </c>
      <c r="C304" s="3" t="s">
        <v>91</v>
      </c>
      <c r="D304" s="3" t="s">
        <v>74</v>
      </c>
      <c r="E304" s="3" t="s">
        <v>10</v>
      </c>
      <c r="F304" s="3" t="s">
        <v>86</v>
      </c>
      <c r="G304" s="3">
        <v>1</v>
      </c>
      <c r="H304" s="3" t="s">
        <v>11</v>
      </c>
      <c r="I304" s="3" t="s">
        <v>62</v>
      </c>
      <c r="J304" s="3" t="s">
        <v>69</v>
      </c>
      <c r="K304" s="3" t="s">
        <v>28</v>
      </c>
      <c r="L304" s="4">
        <v>3657</v>
      </c>
      <c r="M304" s="15" t="str">
        <f>TEXT(bd_Main[[#This Row],[Data]],"ddd")</f>
        <v>sáb</v>
      </c>
      <c r="N304" s="15" t="str">
        <f>TEXT(bd_Main[[#This Row],[Data]],"MMM")</f>
        <v>mai</v>
      </c>
      <c r="O304" s="15" t="str">
        <f>TEXT(bd_Main[[#This Row],[Data]],"AAAA")</f>
        <v>2021</v>
      </c>
    </row>
    <row r="305" spans="1:15" x14ac:dyDescent="0.25">
      <c r="A305" s="7">
        <f t="shared" si="4"/>
        <v>304</v>
      </c>
      <c r="B305" s="2">
        <v>44346</v>
      </c>
      <c r="C305" s="3" t="s">
        <v>93</v>
      </c>
      <c r="D305" s="3" t="s">
        <v>74</v>
      </c>
      <c r="E305" s="3" t="s">
        <v>14</v>
      </c>
      <c r="F305" s="3" t="s">
        <v>82</v>
      </c>
      <c r="G305" s="3">
        <v>0</v>
      </c>
      <c r="H305" s="3" t="s">
        <v>24</v>
      </c>
      <c r="I305" s="3" t="s">
        <v>63</v>
      </c>
      <c r="J305" s="3" t="s">
        <v>69</v>
      </c>
      <c r="K305" s="3" t="s">
        <v>31</v>
      </c>
      <c r="L305" s="4">
        <v>442</v>
      </c>
      <c r="M305" s="15" t="str">
        <f>TEXT(bd_Main[[#This Row],[Data]],"ddd")</f>
        <v>dom</v>
      </c>
      <c r="N305" s="15" t="str">
        <f>TEXT(bd_Main[[#This Row],[Data]],"MMM")</f>
        <v>mai</v>
      </c>
      <c r="O305" s="15" t="str">
        <f>TEXT(bd_Main[[#This Row],[Data]],"AAAA")</f>
        <v>2021</v>
      </c>
    </row>
    <row r="306" spans="1:15" x14ac:dyDescent="0.25">
      <c r="A306" s="7">
        <f t="shared" si="4"/>
        <v>305</v>
      </c>
      <c r="B306" s="2">
        <v>44348</v>
      </c>
      <c r="C306" s="3" t="s">
        <v>96</v>
      </c>
      <c r="D306" s="3" t="s">
        <v>74</v>
      </c>
      <c r="E306" s="3" t="s">
        <v>20</v>
      </c>
      <c r="F306" s="3" t="s">
        <v>85</v>
      </c>
      <c r="G306" s="3">
        <v>0</v>
      </c>
      <c r="H306" s="3" t="s">
        <v>18</v>
      </c>
      <c r="I306" s="3" t="s">
        <v>61</v>
      </c>
      <c r="J306" s="3" t="s">
        <v>70</v>
      </c>
      <c r="K306" s="3" t="s">
        <v>22</v>
      </c>
      <c r="L306" s="4">
        <v>0</v>
      </c>
      <c r="M306" s="15" t="str">
        <f>TEXT(bd_Main[[#This Row],[Data]],"ddd")</f>
        <v>ter</v>
      </c>
      <c r="N306" s="15" t="str">
        <f>TEXT(bd_Main[[#This Row],[Data]],"MMM")</f>
        <v>jun</v>
      </c>
      <c r="O306" s="15" t="str">
        <f>TEXT(bd_Main[[#This Row],[Data]],"AAAA")</f>
        <v>2021</v>
      </c>
    </row>
    <row r="307" spans="1:15" x14ac:dyDescent="0.25">
      <c r="A307" s="7">
        <f t="shared" si="4"/>
        <v>306</v>
      </c>
      <c r="B307" s="2">
        <v>44348</v>
      </c>
      <c r="C307" s="3" t="s">
        <v>91</v>
      </c>
      <c r="D307" s="3" t="s">
        <v>74</v>
      </c>
      <c r="E307" s="3" t="s">
        <v>10</v>
      </c>
      <c r="F307" s="3" t="s">
        <v>82</v>
      </c>
      <c r="G307" s="3">
        <v>0</v>
      </c>
      <c r="H307" s="3" t="s">
        <v>21</v>
      </c>
      <c r="I307" s="3" t="s">
        <v>61</v>
      </c>
      <c r="J307" s="3" t="s">
        <v>70</v>
      </c>
      <c r="K307" s="3" t="s">
        <v>16</v>
      </c>
      <c r="L307" s="4">
        <v>0</v>
      </c>
      <c r="M307" s="15" t="str">
        <f>TEXT(bd_Main[[#This Row],[Data]],"ddd")</f>
        <v>ter</v>
      </c>
      <c r="N307" s="15" t="str">
        <f>TEXT(bd_Main[[#This Row],[Data]],"MMM")</f>
        <v>jun</v>
      </c>
      <c r="O307" s="15" t="str">
        <f>TEXT(bd_Main[[#This Row],[Data]],"AAAA")</f>
        <v>2021</v>
      </c>
    </row>
    <row r="308" spans="1:15" x14ac:dyDescent="0.25">
      <c r="A308" s="7">
        <f t="shared" si="4"/>
        <v>307</v>
      </c>
      <c r="B308" s="2">
        <v>44349</v>
      </c>
      <c r="C308" s="3" t="s">
        <v>95</v>
      </c>
      <c r="D308" s="3" t="s">
        <v>74</v>
      </c>
      <c r="E308" s="3" t="s">
        <v>10</v>
      </c>
      <c r="F308" s="3" t="s">
        <v>81</v>
      </c>
      <c r="G308" s="3">
        <v>0</v>
      </c>
      <c r="H308" s="3" t="s">
        <v>25</v>
      </c>
      <c r="I308" s="3" t="s">
        <v>64</v>
      </c>
      <c r="J308" s="3" t="s">
        <v>71</v>
      </c>
      <c r="K308" s="3" t="s">
        <v>31</v>
      </c>
      <c r="L308" s="4">
        <v>882</v>
      </c>
      <c r="M308" s="15" t="str">
        <f>TEXT(bd_Main[[#This Row],[Data]],"ddd")</f>
        <v>qua</v>
      </c>
      <c r="N308" s="15" t="str">
        <f>TEXT(bd_Main[[#This Row],[Data]],"MMM")</f>
        <v>jun</v>
      </c>
      <c r="O308" s="15" t="str">
        <f>TEXT(bd_Main[[#This Row],[Data]],"AAAA")</f>
        <v>2021</v>
      </c>
    </row>
    <row r="309" spans="1:15" x14ac:dyDescent="0.25">
      <c r="A309" s="7">
        <f t="shared" si="4"/>
        <v>308</v>
      </c>
      <c r="B309" s="2">
        <v>44349</v>
      </c>
      <c r="C309" s="3" t="s">
        <v>93</v>
      </c>
      <c r="D309" s="3" t="s">
        <v>74</v>
      </c>
      <c r="E309" s="3" t="s">
        <v>10</v>
      </c>
      <c r="F309" s="3" t="s">
        <v>87</v>
      </c>
      <c r="G309" s="3">
        <v>0</v>
      </c>
      <c r="H309" s="3" t="s">
        <v>24</v>
      </c>
      <c r="I309" s="3" t="s">
        <v>61</v>
      </c>
      <c r="J309" s="3" t="s">
        <v>69</v>
      </c>
      <c r="K309" s="3" t="s">
        <v>23</v>
      </c>
      <c r="L309" s="4">
        <v>0</v>
      </c>
      <c r="M309" s="15" t="str">
        <f>TEXT(bd_Main[[#This Row],[Data]],"ddd")</f>
        <v>qua</v>
      </c>
      <c r="N309" s="15" t="str">
        <f>TEXT(bd_Main[[#This Row],[Data]],"MMM")</f>
        <v>jun</v>
      </c>
      <c r="O309" s="15" t="str">
        <f>TEXT(bd_Main[[#This Row],[Data]],"AAAA")</f>
        <v>2021</v>
      </c>
    </row>
    <row r="310" spans="1:15" x14ac:dyDescent="0.25">
      <c r="A310" s="7">
        <f t="shared" si="4"/>
        <v>309</v>
      </c>
      <c r="B310" s="2">
        <v>44350</v>
      </c>
      <c r="C310" s="3" t="s">
        <v>33</v>
      </c>
      <c r="D310" s="3" t="s">
        <v>75</v>
      </c>
      <c r="E310" s="3" t="s">
        <v>17</v>
      </c>
      <c r="F310" s="3" t="s">
        <v>82</v>
      </c>
      <c r="G310" s="3">
        <v>3</v>
      </c>
      <c r="H310" s="3" t="s">
        <v>24</v>
      </c>
      <c r="I310" s="3" t="s">
        <v>62</v>
      </c>
      <c r="J310" s="3" t="s">
        <v>69</v>
      </c>
      <c r="K310" s="3" t="s">
        <v>22</v>
      </c>
      <c r="L310" s="4">
        <v>498</v>
      </c>
      <c r="M310" s="15" t="str">
        <f>TEXT(bd_Main[[#This Row],[Data]],"ddd")</f>
        <v>qui</v>
      </c>
      <c r="N310" s="15" t="str">
        <f>TEXT(bd_Main[[#This Row],[Data]],"MMM")</f>
        <v>jun</v>
      </c>
      <c r="O310" s="15" t="str">
        <f>TEXT(bd_Main[[#This Row],[Data]],"AAAA")</f>
        <v>2021</v>
      </c>
    </row>
    <row r="311" spans="1:15" x14ac:dyDescent="0.25">
      <c r="A311" s="7">
        <f t="shared" si="4"/>
        <v>310</v>
      </c>
      <c r="B311" s="2">
        <v>44350</v>
      </c>
      <c r="C311" s="3" t="s">
        <v>92</v>
      </c>
      <c r="D311" s="3" t="s">
        <v>74</v>
      </c>
      <c r="E311" s="3" t="s">
        <v>20</v>
      </c>
      <c r="F311" s="3" t="s">
        <v>83</v>
      </c>
      <c r="G311" s="3">
        <v>4.5</v>
      </c>
      <c r="H311" s="3" t="s">
        <v>29</v>
      </c>
      <c r="I311" s="3" t="s">
        <v>62</v>
      </c>
      <c r="J311" s="3" t="s">
        <v>69</v>
      </c>
      <c r="K311" s="3" t="s">
        <v>12</v>
      </c>
      <c r="L311" s="4">
        <v>3170</v>
      </c>
      <c r="M311" s="15" t="str">
        <f>TEXT(bd_Main[[#This Row],[Data]],"ddd")</f>
        <v>qui</v>
      </c>
      <c r="N311" s="15" t="str">
        <f>TEXT(bd_Main[[#This Row],[Data]],"MMM")</f>
        <v>jun</v>
      </c>
      <c r="O311" s="15" t="str">
        <f>TEXT(bd_Main[[#This Row],[Data]],"AAAA")</f>
        <v>2021</v>
      </c>
    </row>
    <row r="312" spans="1:15" x14ac:dyDescent="0.25">
      <c r="A312" s="7">
        <f t="shared" si="4"/>
        <v>311</v>
      </c>
      <c r="B312" s="2">
        <v>44353</v>
      </c>
      <c r="C312" s="3" t="s">
        <v>90</v>
      </c>
      <c r="D312" s="3" t="s">
        <v>74</v>
      </c>
      <c r="E312" s="3" t="s">
        <v>10</v>
      </c>
      <c r="F312" s="3" t="s">
        <v>79</v>
      </c>
      <c r="G312" s="3">
        <v>0</v>
      </c>
      <c r="H312" s="3" t="s">
        <v>25</v>
      </c>
      <c r="I312" s="3" t="s">
        <v>64</v>
      </c>
      <c r="J312" s="3" t="s">
        <v>70</v>
      </c>
      <c r="K312" s="3" t="s">
        <v>12</v>
      </c>
      <c r="L312" s="4">
        <v>4260</v>
      </c>
      <c r="M312" s="15" t="str">
        <f>TEXT(bd_Main[[#This Row],[Data]],"ddd")</f>
        <v>dom</v>
      </c>
      <c r="N312" s="15" t="str">
        <f>TEXT(bd_Main[[#This Row],[Data]],"MMM")</f>
        <v>jun</v>
      </c>
      <c r="O312" s="15" t="str">
        <f>TEXT(bd_Main[[#This Row],[Data]],"AAAA")</f>
        <v>2021</v>
      </c>
    </row>
    <row r="313" spans="1:15" x14ac:dyDescent="0.25">
      <c r="A313" s="7">
        <f t="shared" si="4"/>
        <v>312</v>
      </c>
      <c r="B313" s="2">
        <v>44354</v>
      </c>
      <c r="C313" s="3" t="s">
        <v>94</v>
      </c>
      <c r="D313" s="3" t="s">
        <v>74</v>
      </c>
      <c r="E313" s="3" t="s">
        <v>20</v>
      </c>
      <c r="F313" s="3" t="s">
        <v>81</v>
      </c>
      <c r="G313" s="3">
        <v>0</v>
      </c>
      <c r="H313" s="3" t="s">
        <v>32</v>
      </c>
      <c r="I313" s="3" t="s">
        <v>63</v>
      </c>
      <c r="J313" s="3" t="s">
        <v>70</v>
      </c>
      <c r="K313" s="3" t="s">
        <v>27</v>
      </c>
      <c r="L313" s="4">
        <v>107</v>
      </c>
      <c r="M313" s="15" t="str">
        <f>TEXT(bd_Main[[#This Row],[Data]],"ddd")</f>
        <v>seg</v>
      </c>
      <c r="N313" s="15" t="str">
        <f>TEXT(bd_Main[[#This Row],[Data]],"MMM")</f>
        <v>jun</v>
      </c>
      <c r="O313" s="15" t="str">
        <f>TEXT(bd_Main[[#This Row],[Data]],"AAAA")</f>
        <v>2021</v>
      </c>
    </row>
    <row r="314" spans="1:15" x14ac:dyDescent="0.25">
      <c r="A314" s="7">
        <f t="shared" si="4"/>
        <v>313</v>
      </c>
      <c r="B314" s="2">
        <v>44355</v>
      </c>
      <c r="C314" s="3" t="s">
        <v>95</v>
      </c>
      <c r="D314" s="3" t="s">
        <v>74</v>
      </c>
      <c r="E314" s="3" t="s">
        <v>17</v>
      </c>
      <c r="F314" s="3" t="s">
        <v>80</v>
      </c>
      <c r="G314" s="3">
        <v>0</v>
      </c>
      <c r="H314" s="3" t="s">
        <v>15</v>
      </c>
      <c r="I314" s="3" t="s">
        <v>61</v>
      </c>
      <c r="J314" s="3" t="s">
        <v>69</v>
      </c>
      <c r="K314" s="3" t="s">
        <v>28</v>
      </c>
      <c r="L314" s="4">
        <v>0</v>
      </c>
      <c r="M314" s="15" t="str">
        <f>TEXT(bd_Main[[#This Row],[Data]],"ddd")</f>
        <v>ter</v>
      </c>
      <c r="N314" s="15" t="str">
        <f>TEXT(bd_Main[[#This Row],[Data]],"MMM")</f>
        <v>jun</v>
      </c>
      <c r="O314" s="15" t="str">
        <f>TEXT(bd_Main[[#This Row],[Data]],"AAAA")</f>
        <v>2021</v>
      </c>
    </row>
    <row r="315" spans="1:15" x14ac:dyDescent="0.25">
      <c r="A315" s="7">
        <f t="shared" si="4"/>
        <v>314</v>
      </c>
      <c r="B315" s="2">
        <v>44355</v>
      </c>
      <c r="C315" s="3" t="s">
        <v>13</v>
      </c>
      <c r="D315" s="3" t="s">
        <v>74</v>
      </c>
      <c r="E315" s="3" t="s">
        <v>20</v>
      </c>
      <c r="F315" s="3" t="s">
        <v>83</v>
      </c>
      <c r="G315" s="3">
        <v>0</v>
      </c>
      <c r="H315" s="3" t="s">
        <v>29</v>
      </c>
      <c r="I315" s="3" t="s">
        <v>63</v>
      </c>
      <c r="J315" s="3" t="s">
        <v>71</v>
      </c>
      <c r="K315" s="3" t="s">
        <v>12</v>
      </c>
      <c r="L315" s="4">
        <v>152</v>
      </c>
      <c r="M315" s="15" t="str">
        <f>TEXT(bd_Main[[#This Row],[Data]],"ddd")</f>
        <v>ter</v>
      </c>
      <c r="N315" s="15" t="str">
        <f>TEXT(bd_Main[[#This Row],[Data]],"MMM")</f>
        <v>jun</v>
      </c>
      <c r="O315" s="15" t="str">
        <f>TEXT(bd_Main[[#This Row],[Data]],"AAAA")</f>
        <v>2021</v>
      </c>
    </row>
    <row r="316" spans="1:15" x14ac:dyDescent="0.25">
      <c r="A316" s="7">
        <f t="shared" si="4"/>
        <v>315</v>
      </c>
      <c r="B316" s="2">
        <v>44359</v>
      </c>
      <c r="C316" s="3" t="s">
        <v>96</v>
      </c>
      <c r="D316" s="3" t="s">
        <v>74</v>
      </c>
      <c r="E316" s="3" t="s">
        <v>14</v>
      </c>
      <c r="F316" s="3" t="s">
        <v>79</v>
      </c>
      <c r="G316" s="3">
        <v>4.5</v>
      </c>
      <c r="H316" s="3" t="s">
        <v>29</v>
      </c>
      <c r="I316" s="3" t="s">
        <v>62</v>
      </c>
      <c r="J316" s="3" t="s">
        <v>71</v>
      </c>
      <c r="K316" s="3" t="s">
        <v>23</v>
      </c>
      <c r="L316" s="4">
        <v>2651</v>
      </c>
      <c r="M316" s="15" t="str">
        <f>TEXT(bd_Main[[#This Row],[Data]],"ddd")</f>
        <v>sáb</v>
      </c>
      <c r="N316" s="15" t="str">
        <f>TEXT(bd_Main[[#This Row],[Data]],"MMM")</f>
        <v>jun</v>
      </c>
      <c r="O316" s="15" t="str">
        <f>TEXT(bd_Main[[#This Row],[Data]],"AAAA")</f>
        <v>2021</v>
      </c>
    </row>
    <row r="317" spans="1:15" x14ac:dyDescent="0.25">
      <c r="A317" s="7">
        <f t="shared" si="4"/>
        <v>316</v>
      </c>
      <c r="B317" s="2">
        <v>44359</v>
      </c>
      <c r="C317" s="3" t="s">
        <v>94</v>
      </c>
      <c r="D317" s="3" t="s">
        <v>74</v>
      </c>
      <c r="E317" s="3" t="s">
        <v>17</v>
      </c>
      <c r="F317" s="3" t="s">
        <v>85</v>
      </c>
      <c r="G317" s="3">
        <v>0</v>
      </c>
      <c r="H317" s="3" t="s">
        <v>29</v>
      </c>
      <c r="I317" s="3" t="s">
        <v>63</v>
      </c>
      <c r="J317" s="3" t="s">
        <v>69</v>
      </c>
      <c r="K317" s="3" t="s">
        <v>31</v>
      </c>
      <c r="L317" s="4">
        <v>491</v>
      </c>
      <c r="M317" s="15" t="str">
        <f>TEXT(bd_Main[[#This Row],[Data]],"ddd")</f>
        <v>sáb</v>
      </c>
      <c r="N317" s="15" t="str">
        <f>TEXT(bd_Main[[#This Row],[Data]],"MMM")</f>
        <v>jun</v>
      </c>
      <c r="O317" s="15" t="str">
        <f>TEXT(bd_Main[[#This Row],[Data]],"AAAA")</f>
        <v>2021</v>
      </c>
    </row>
    <row r="318" spans="1:15" x14ac:dyDescent="0.25">
      <c r="A318" s="7">
        <f t="shared" si="4"/>
        <v>317</v>
      </c>
      <c r="B318" s="2">
        <v>44360</v>
      </c>
      <c r="C318" s="3" t="s">
        <v>96</v>
      </c>
      <c r="D318" s="3" t="s">
        <v>74</v>
      </c>
      <c r="E318" s="3" t="s">
        <v>20</v>
      </c>
      <c r="F318" s="3" t="s">
        <v>82</v>
      </c>
      <c r="G318" s="3">
        <v>0</v>
      </c>
      <c r="H318" s="3" t="s">
        <v>29</v>
      </c>
      <c r="I318" s="3" t="s">
        <v>61</v>
      </c>
      <c r="J318" s="3" t="s">
        <v>69</v>
      </c>
      <c r="K318" s="3" t="s">
        <v>26</v>
      </c>
      <c r="L318" s="4">
        <v>0</v>
      </c>
      <c r="M318" s="15" t="str">
        <f>TEXT(bd_Main[[#This Row],[Data]],"ddd")</f>
        <v>dom</v>
      </c>
      <c r="N318" s="15" t="str">
        <f>TEXT(bd_Main[[#This Row],[Data]],"MMM")</f>
        <v>jun</v>
      </c>
      <c r="O318" s="15" t="str">
        <f>TEXT(bd_Main[[#This Row],[Data]],"AAAA")</f>
        <v>2021</v>
      </c>
    </row>
    <row r="319" spans="1:15" x14ac:dyDescent="0.25">
      <c r="A319" s="7">
        <f t="shared" si="4"/>
        <v>318</v>
      </c>
      <c r="B319" s="2">
        <v>44362</v>
      </c>
      <c r="C319" s="3" t="s">
        <v>96</v>
      </c>
      <c r="D319" s="3" t="s">
        <v>74</v>
      </c>
      <c r="E319" s="3" t="s">
        <v>17</v>
      </c>
      <c r="F319" s="3" t="s">
        <v>81</v>
      </c>
      <c r="G319" s="3">
        <v>2</v>
      </c>
      <c r="H319" s="3" t="s">
        <v>24</v>
      </c>
      <c r="I319" s="3" t="s">
        <v>62</v>
      </c>
      <c r="J319" s="3" t="s">
        <v>71</v>
      </c>
      <c r="K319" s="3" t="s">
        <v>19</v>
      </c>
      <c r="L319" s="4">
        <v>674</v>
      </c>
      <c r="M319" s="15" t="str">
        <f>TEXT(bd_Main[[#This Row],[Data]],"ddd")</f>
        <v>ter</v>
      </c>
      <c r="N319" s="15" t="str">
        <f>TEXT(bd_Main[[#This Row],[Data]],"MMM")</f>
        <v>jun</v>
      </c>
      <c r="O319" s="15" t="str">
        <f>TEXT(bd_Main[[#This Row],[Data]],"AAAA")</f>
        <v>2021</v>
      </c>
    </row>
    <row r="320" spans="1:15" x14ac:dyDescent="0.25">
      <c r="A320" s="7">
        <f t="shared" si="4"/>
        <v>319</v>
      </c>
      <c r="B320" s="2">
        <v>44364</v>
      </c>
      <c r="C320" s="3" t="s">
        <v>33</v>
      </c>
      <c r="D320" s="3" t="s">
        <v>74</v>
      </c>
      <c r="E320" s="3" t="s">
        <v>17</v>
      </c>
      <c r="F320" s="3" t="s">
        <v>79</v>
      </c>
      <c r="G320" s="3">
        <v>0</v>
      </c>
      <c r="H320" s="3" t="s">
        <v>29</v>
      </c>
      <c r="I320" s="3" t="s">
        <v>64</v>
      </c>
      <c r="J320" s="3" t="s">
        <v>71</v>
      </c>
      <c r="K320" s="3" t="s">
        <v>31</v>
      </c>
      <c r="L320" s="4">
        <v>718</v>
      </c>
      <c r="M320" s="15" t="str">
        <f>TEXT(bd_Main[[#This Row],[Data]],"ddd")</f>
        <v>qui</v>
      </c>
      <c r="N320" s="15" t="str">
        <f>TEXT(bd_Main[[#This Row],[Data]],"MMM")</f>
        <v>jun</v>
      </c>
      <c r="O320" s="15" t="str">
        <f>TEXT(bd_Main[[#This Row],[Data]],"AAAA")</f>
        <v>2021</v>
      </c>
    </row>
    <row r="321" spans="1:15" x14ac:dyDescent="0.25">
      <c r="A321" s="7">
        <f t="shared" si="4"/>
        <v>320</v>
      </c>
      <c r="B321" s="2">
        <v>44365</v>
      </c>
      <c r="C321" s="3" t="s">
        <v>94</v>
      </c>
      <c r="D321" s="3" t="s">
        <v>74</v>
      </c>
      <c r="E321" s="3" t="s">
        <v>14</v>
      </c>
      <c r="F321" s="3" t="s">
        <v>85</v>
      </c>
      <c r="G321" s="3">
        <v>1.5</v>
      </c>
      <c r="H321" s="3" t="s">
        <v>29</v>
      </c>
      <c r="I321" s="3" t="s">
        <v>62</v>
      </c>
      <c r="J321" s="3" t="s">
        <v>69</v>
      </c>
      <c r="K321" s="3" t="s">
        <v>26</v>
      </c>
      <c r="L321" s="4">
        <v>1698</v>
      </c>
      <c r="M321" s="15" t="str">
        <f>TEXT(bd_Main[[#This Row],[Data]],"ddd")</f>
        <v>sex</v>
      </c>
      <c r="N321" s="15" t="str">
        <f>TEXT(bd_Main[[#This Row],[Data]],"MMM")</f>
        <v>jun</v>
      </c>
      <c r="O321" s="15" t="str">
        <f>TEXT(bd_Main[[#This Row],[Data]],"AAAA")</f>
        <v>2021</v>
      </c>
    </row>
    <row r="322" spans="1:15" x14ac:dyDescent="0.25">
      <c r="A322" s="7">
        <f t="shared" ref="A322:A385" si="5">ROW(A322)-1</f>
        <v>321</v>
      </c>
      <c r="B322" s="2">
        <v>44365</v>
      </c>
      <c r="C322" s="3" t="s">
        <v>92</v>
      </c>
      <c r="D322" s="3" t="s">
        <v>74</v>
      </c>
      <c r="E322" s="3" t="s">
        <v>10</v>
      </c>
      <c r="F322" s="3" t="s">
        <v>79</v>
      </c>
      <c r="G322" s="3">
        <v>0</v>
      </c>
      <c r="H322" s="3" t="s">
        <v>30</v>
      </c>
      <c r="I322" s="3" t="s">
        <v>64</v>
      </c>
      <c r="J322" s="3" t="s">
        <v>70</v>
      </c>
      <c r="K322" s="3" t="s">
        <v>12</v>
      </c>
      <c r="L322" s="4">
        <v>4664</v>
      </c>
      <c r="M322" s="15" t="str">
        <f>TEXT(bd_Main[[#This Row],[Data]],"ddd")</f>
        <v>sex</v>
      </c>
      <c r="N322" s="15" t="str">
        <f>TEXT(bd_Main[[#This Row],[Data]],"MMM")</f>
        <v>jun</v>
      </c>
      <c r="O322" s="15" t="str">
        <f>TEXT(bd_Main[[#This Row],[Data]],"AAAA")</f>
        <v>2021</v>
      </c>
    </row>
    <row r="323" spans="1:15" x14ac:dyDescent="0.25">
      <c r="A323" s="7">
        <f t="shared" si="5"/>
        <v>322</v>
      </c>
      <c r="B323" s="2">
        <v>44365</v>
      </c>
      <c r="C323" s="3" t="s">
        <v>96</v>
      </c>
      <c r="D323" s="3" t="s">
        <v>74</v>
      </c>
      <c r="E323" s="3" t="s">
        <v>10</v>
      </c>
      <c r="F323" s="3" t="s">
        <v>86</v>
      </c>
      <c r="G323" s="3">
        <v>4.5</v>
      </c>
      <c r="H323" s="3" t="s">
        <v>25</v>
      </c>
      <c r="I323" s="3" t="s">
        <v>62</v>
      </c>
      <c r="J323" s="3" t="s">
        <v>71</v>
      </c>
      <c r="K323" s="3" t="s">
        <v>22</v>
      </c>
      <c r="L323" s="4">
        <v>1694</v>
      </c>
      <c r="M323" s="15" t="str">
        <f>TEXT(bd_Main[[#This Row],[Data]],"ddd")</f>
        <v>sex</v>
      </c>
      <c r="N323" s="15" t="str">
        <f>TEXT(bd_Main[[#This Row],[Data]],"MMM")</f>
        <v>jun</v>
      </c>
      <c r="O323" s="15" t="str">
        <f>TEXT(bd_Main[[#This Row],[Data]],"AAAA")</f>
        <v>2021</v>
      </c>
    </row>
    <row r="324" spans="1:15" x14ac:dyDescent="0.25">
      <c r="A324" s="7">
        <f t="shared" si="5"/>
        <v>323</v>
      </c>
      <c r="B324" s="2">
        <v>44366</v>
      </c>
      <c r="C324" s="3" t="s">
        <v>95</v>
      </c>
      <c r="D324" s="3" t="s">
        <v>74</v>
      </c>
      <c r="E324" s="3" t="s">
        <v>20</v>
      </c>
      <c r="F324" s="3" t="s">
        <v>87</v>
      </c>
      <c r="G324" s="3">
        <v>0</v>
      </c>
      <c r="H324" s="3" t="s">
        <v>18</v>
      </c>
      <c r="I324" s="3" t="s">
        <v>64</v>
      </c>
      <c r="J324" s="3" t="s">
        <v>71</v>
      </c>
      <c r="K324" s="3" t="s">
        <v>26</v>
      </c>
      <c r="L324" s="4">
        <v>522</v>
      </c>
      <c r="M324" s="15" t="str">
        <f>TEXT(bd_Main[[#This Row],[Data]],"ddd")</f>
        <v>sáb</v>
      </c>
      <c r="N324" s="15" t="str">
        <f>TEXT(bd_Main[[#This Row],[Data]],"MMM")</f>
        <v>jun</v>
      </c>
      <c r="O324" s="15" t="str">
        <f>TEXT(bd_Main[[#This Row],[Data]],"AAAA")</f>
        <v>2021</v>
      </c>
    </row>
    <row r="325" spans="1:15" x14ac:dyDescent="0.25">
      <c r="A325" s="7">
        <f t="shared" si="5"/>
        <v>324</v>
      </c>
      <c r="B325" s="2">
        <v>44368</v>
      </c>
      <c r="C325" s="3" t="s">
        <v>90</v>
      </c>
      <c r="D325" s="3" t="s">
        <v>74</v>
      </c>
      <c r="E325" s="3" t="s">
        <v>14</v>
      </c>
      <c r="F325" s="3" t="s">
        <v>80</v>
      </c>
      <c r="G325" s="3">
        <v>0</v>
      </c>
      <c r="H325" s="3" t="s">
        <v>18</v>
      </c>
      <c r="I325" s="3" t="s">
        <v>64</v>
      </c>
      <c r="J325" s="3" t="s">
        <v>70</v>
      </c>
      <c r="K325" s="3" t="s">
        <v>28</v>
      </c>
      <c r="L325" s="4">
        <v>3221</v>
      </c>
      <c r="M325" s="15" t="str">
        <f>TEXT(bd_Main[[#This Row],[Data]],"ddd")</f>
        <v>seg</v>
      </c>
      <c r="N325" s="15" t="str">
        <f>TEXT(bd_Main[[#This Row],[Data]],"MMM")</f>
        <v>jun</v>
      </c>
      <c r="O325" s="15" t="str">
        <f>TEXT(bd_Main[[#This Row],[Data]],"AAAA")</f>
        <v>2021</v>
      </c>
    </row>
    <row r="326" spans="1:15" x14ac:dyDescent="0.25">
      <c r="A326" s="7">
        <f t="shared" si="5"/>
        <v>325</v>
      </c>
      <c r="B326" s="2">
        <v>44370</v>
      </c>
      <c r="C326" s="3" t="s">
        <v>95</v>
      </c>
      <c r="D326" s="3" t="s">
        <v>74</v>
      </c>
      <c r="E326" s="3" t="s">
        <v>17</v>
      </c>
      <c r="F326" s="3" t="s">
        <v>87</v>
      </c>
      <c r="G326" s="3">
        <v>0</v>
      </c>
      <c r="H326" s="3" t="s">
        <v>18</v>
      </c>
      <c r="I326" s="3" t="s">
        <v>61</v>
      </c>
      <c r="J326" s="3" t="s">
        <v>70</v>
      </c>
      <c r="K326" s="3" t="s">
        <v>12</v>
      </c>
      <c r="L326" s="4">
        <v>0</v>
      </c>
      <c r="M326" s="15" t="str">
        <f>TEXT(bd_Main[[#This Row],[Data]],"ddd")</f>
        <v>qua</v>
      </c>
      <c r="N326" s="15" t="str">
        <f>TEXT(bd_Main[[#This Row],[Data]],"MMM")</f>
        <v>jun</v>
      </c>
      <c r="O326" s="15" t="str">
        <f>TEXT(bd_Main[[#This Row],[Data]],"AAAA")</f>
        <v>2021</v>
      </c>
    </row>
    <row r="327" spans="1:15" x14ac:dyDescent="0.25">
      <c r="A327" s="7">
        <f t="shared" si="5"/>
        <v>326</v>
      </c>
      <c r="B327" s="2">
        <v>44372</v>
      </c>
      <c r="C327" s="3" t="s">
        <v>33</v>
      </c>
      <c r="D327" s="3" t="s">
        <v>74</v>
      </c>
      <c r="E327" s="3" t="s">
        <v>20</v>
      </c>
      <c r="F327" s="3" t="s">
        <v>79</v>
      </c>
      <c r="G327" s="3">
        <v>0</v>
      </c>
      <c r="H327" s="3" t="s">
        <v>15</v>
      </c>
      <c r="I327" s="3" t="s">
        <v>61</v>
      </c>
      <c r="J327" s="3" t="s">
        <v>70</v>
      </c>
      <c r="K327" s="3" t="s">
        <v>12</v>
      </c>
      <c r="L327" s="4">
        <v>0</v>
      </c>
      <c r="M327" s="15" t="str">
        <f>TEXT(bd_Main[[#This Row],[Data]],"ddd")</f>
        <v>sex</v>
      </c>
      <c r="N327" s="15" t="str">
        <f>TEXT(bd_Main[[#This Row],[Data]],"MMM")</f>
        <v>jun</v>
      </c>
      <c r="O327" s="15" t="str">
        <f>TEXT(bd_Main[[#This Row],[Data]],"AAAA")</f>
        <v>2021</v>
      </c>
    </row>
    <row r="328" spans="1:15" x14ac:dyDescent="0.25">
      <c r="A328" s="7">
        <f t="shared" si="5"/>
        <v>327</v>
      </c>
      <c r="B328" s="2">
        <v>44373</v>
      </c>
      <c r="C328" s="3" t="s">
        <v>94</v>
      </c>
      <c r="D328" s="3" t="s">
        <v>74</v>
      </c>
      <c r="E328" s="3" t="s">
        <v>17</v>
      </c>
      <c r="F328" s="3" t="s">
        <v>81</v>
      </c>
      <c r="G328" s="3">
        <v>0</v>
      </c>
      <c r="H328" s="3" t="s">
        <v>18</v>
      </c>
      <c r="I328" s="3" t="s">
        <v>63</v>
      </c>
      <c r="J328" s="3" t="s">
        <v>71</v>
      </c>
      <c r="K328" s="3" t="s">
        <v>28</v>
      </c>
      <c r="L328" s="4">
        <v>383</v>
      </c>
      <c r="M328" s="15" t="str">
        <f>TEXT(bd_Main[[#This Row],[Data]],"ddd")</f>
        <v>sáb</v>
      </c>
      <c r="N328" s="15" t="str">
        <f>TEXT(bd_Main[[#This Row],[Data]],"MMM")</f>
        <v>jun</v>
      </c>
      <c r="O328" s="15" t="str">
        <f>TEXT(bd_Main[[#This Row],[Data]],"AAAA")</f>
        <v>2021</v>
      </c>
    </row>
    <row r="329" spans="1:15" x14ac:dyDescent="0.25">
      <c r="A329" s="7">
        <f t="shared" si="5"/>
        <v>328</v>
      </c>
      <c r="B329" s="2">
        <v>44374</v>
      </c>
      <c r="C329" s="3" t="s">
        <v>94</v>
      </c>
      <c r="D329" s="3" t="s">
        <v>74</v>
      </c>
      <c r="E329" s="3" t="s">
        <v>10</v>
      </c>
      <c r="F329" s="3" t="s">
        <v>80</v>
      </c>
      <c r="G329" s="3">
        <v>4.5</v>
      </c>
      <c r="H329" s="3" t="s">
        <v>18</v>
      </c>
      <c r="I329" s="3" t="s">
        <v>62</v>
      </c>
      <c r="J329" s="3" t="s">
        <v>70</v>
      </c>
      <c r="K329" s="3" t="s">
        <v>27</v>
      </c>
      <c r="L329" s="4">
        <v>3588</v>
      </c>
      <c r="M329" s="15" t="str">
        <f>TEXT(bd_Main[[#This Row],[Data]],"ddd")</f>
        <v>dom</v>
      </c>
      <c r="N329" s="15" t="str">
        <f>TEXT(bd_Main[[#This Row],[Data]],"MMM")</f>
        <v>jun</v>
      </c>
      <c r="O329" s="15" t="str">
        <f>TEXT(bd_Main[[#This Row],[Data]],"AAAA")</f>
        <v>2021</v>
      </c>
    </row>
    <row r="330" spans="1:15" x14ac:dyDescent="0.25">
      <c r="A330" s="7">
        <f t="shared" si="5"/>
        <v>329</v>
      </c>
      <c r="B330" s="2">
        <v>44375</v>
      </c>
      <c r="C330" s="3" t="s">
        <v>94</v>
      </c>
      <c r="D330" s="3" t="s">
        <v>74</v>
      </c>
      <c r="E330" s="3" t="s">
        <v>14</v>
      </c>
      <c r="F330" s="3" t="s">
        <v>82</v>
      </c>
      <c r="G330" s="3">
        <v>0</v>
      </c>
      <c r="H330" s="3" t="s">
        <v>21</v>
      </c>
      <c r="I330" s="3" t="s">
        <v>63</v>
      </c>
      <c r="J330" s="3" t="s">
        <v>70</v>
      </c>
      <c r="K330" s="3" t="s">
        <v>16</v>
      </c>
      <c r="L330" s="4">
        <v>119</v>
      </c>
      <c r="M330" s="15" t="str">
        <f>TEXT(bd_Main[[#This Row],[Data]],"ddd")</f>
        <v>seg</v>
      </c>
      <c r="N330" s="15" t="str">
        <f>TEXT(bd_Main[[#This Row],[Data]],"MMM")</f>
        <v>jun</v>
      </c>
      <c r="O330" s="15" t="str">
        <f>TEXT(bd_Main[[#This Row],[Data]],"AAAA")</f>
        <v>2021</v>
      </c>
    </row>
    <row r="331" spans="1:15" x14ac:dyDescent="0.25">
      <c r="A331" s="7">
        <f t="shared" si="5"/>
        <v>330</v>
      </c>
      <c r="B331" s="2">
        <v>44376</v>
      </c>
      <c r="C331" s="3" t="s">
        <v>95</v>
      </c>
      <c r="D331" s="3" t="s">
        <v>74</v>
      </c>
      <c r="E331" s="3" t="s">
        <v>10</v>
      </c>
      <c r="F331" s="3" t="s">
        <v>87</v>
      </c>
      <c r="G331" s="3">
        <v>0</v>
      </c>
      <c r="H331" s="3" t="s">
        <v>11</v>
      </c>
      <c r="I331" s="3" t="s">
        <v>61</v>
      </c>
      <c r="J331" s="3" t="s">
        <v>70</v>
      </c>
      <c r="K331" s="3" t="s">
        <v>12</v>
      </c>
      <c r="L331" s="4">
        <v>0</v>
      </c>
      <c r="M331" s="15" t="str">
        <f>TEXT(bd_Main[[#This Row],[Data]],"ddd")</f>
        <v>ter</v>
      </c>
      <c r="N331" s="15" t="str">
        <f>TEXT(bd_Main[[#This Row],[Data]],"MMM")</f>
        <v>jun</v>
      </c>
      <c r="O331" s="15" t="str">
        <f>TEXT(bd_Main[[#This Row],[Data]],"AAAA")</f>
        <v>2021</v>
      </c>
    </row>
    <row r="332" spans="1:15" x14ac:dyDescent="0.25">
      <c r="A332" s="7">
        <f t="shared" si="5"/>
        <v>331</v>
      </c>
      <c r="B332" s="2">
        <v>44381</v>
      </c>
      <c r="C332" s="3" t="s">
        <v>96</v>
      </c>
      <c r="D332" s="3" t="s">
        <v>74</v>
      </c>
      <c r="E332" s="3" t="s">
        <v>10</v>
      </c>
      <c r="F332" s="3" t="s">
        <v>80</v>
      </c>
      <c r="G332" s="3">
        <v>0</v>
      </c>
      <c r="H332" s="3" t="s">
        <v>32</v>
      </c>
      <c r="I332" s="3" t="s">
        <v>63</v>
      </c>
      <c r="J332" s="3" t="s">
        <v>71</v>
      </c>
      <c r="K332" s="3" t="s">
        <v>19</v>
      </c>
      <c r="L332" s="4">
        <v>88</v>
      </c>
      <c r="M332" s="15" t="str">
        <f>TEXT(bd_Main[[#This Row],[Data]],"ddd")</f>
        <v>dom</v>
      </c>
      <c r="N332" s="15" t="str">
        <f>TEXT(bd_Main[[#This Row],[Data]],"MMM")</f>
        <v>jul</v>
      </c>
      <c r="O332" s="15" t="str">
        <f>TEXT(bd_Main[[#This Row],[Data]],"AAAA")</f>
        <v>2021</v>
      </c>
    </row>
    <row r="333" spans="1:15" x14ac:dyDescent="0.25">
      <c r="A333" s="7">
        <f t="shared" si="5"/>
        <v>332</v>
      </c>
      <c r="B333" s="2">
        <v>44383</v>
      </c>
      <c r="C333" s="3" t="s">
        <v>94</v>
      </c>
      <c r="D333" s="3" t="s">
        <v>74</v>
      </c>
      <c r="E333" s="3" t="s">
        <v>17</v>
      </c>
      <c r="F333" s="3" t="s">
        <v>81</v>
      </c>
      <c r="G333" s="3">
        <v>0</v>
      </c>
      <c r="H333" s="3" t="s">
        <v>15</v>
      </c>
      <c r="I333" s="3" t="s">
        <v>63</v>
      </c>
      <c r="J333" s="3" t="s">
        <v>70</v>
      </c>
      <c r="K333" s="3" t="s">
        <v>26</v>
      </c>
      <c r="L333" s="4">
        <v>373</v>
      </c>
      <c r="M333" s="15" t="str">
        <f>TEXT(bd_Main[[#This Row],[Data]],"ddd")</f>
        <v>ter</v>
      </c>
      <c r="N333" s="15" t="str">
        <f>TEXT(bd_Main[[#This Row],[Data]],"MMM")</f>
        <v>jul</v>
      </c>
      <c r="O333" s="15" t="str">
        <f>TEXT(bd_Main[[#This Row],[Data]],"AAAA")</f>
        <v>2021</v>
      </c>
    </row>
    <row r="334" spans="1:15" x14ac:dyDescent="0.25">
      <c r="A334" s="7">
        <f t="shared" si="5"/>
        <v>333</v>
      </c>
      <c r="B334" s="2">
        <v>44384</v>
      </c>
      <c r="C334" s="3" t="s">
        <v>94</v>
      </c>
      <c r="D334" s="3" t="s">
        <v>74</v>
      </c>
      <c r="E334" s="3" t="s">
        <v>14</v>
      </c>
      <c r="F334" s="3" t="s">
        <v>87</v>
      </c>
      <c r="G334" s="3">
        <v>0</v>
      </c>
      <c r="H334" s="3" t="s">
        <v>32</v>
      </c>
      <c r="I334" s="3" t="s">
        <v>64</v>
      </c>
      <c r="J334" s="3" t="s">
        <v>70</v>
      </c>
      <c r="K334" s="3" t="s">
        <v>27</v>
      </c>
      <c r="L334" s="4">
        <v>4905</v>
      </c>
      <c r="M334" s="15" t="str">
        <f>TEXT(bd_Main[[#This Row],[Data]],"ddd")</f>
        <v>qua</v>
      </c>
      <c r="N334" s="15" t="str">
        <f>TEXT(bd_Main[[#This Row],[Data]],"MMM")</f>
        <v>jul</v>
      </c>
      <c r="O334" s="15" t="str">
        <f>TEXT(bd_Main[[#This Row],[Data]],"AAAA")</f>
        <v>2021</v>
      </c>
    </row>
    <row r="335" spans="1:15" x14ac:dyDescent="0.25">
      <c r="A335" s="7">
        <f t="shared" si="5"/>
        <v>334</v>
      </c>
      <c r="B335" s="2">
        <v>44385</v>
      </c>
      <c r="C335" s="3" t="s">
        <v>33</v>
      </c>
      <c r="D335" s="3" t="s">
        <v>74</v>
      </c>
      <c r="E335" s="3" t="s">
        <v>20</v>
      </c>
      <c r="F335" s="3" t="s">
        <v>86</v>
      </c>
      <c r="G335" s="3">
        <v>4.5</v>
      </c>
      <c r="H335" s="3" t="s">
        <v>21</v>
      </c>
      <c r="I335" s="3" t="s">
        <v>62</v>
      </c>
      <c r="J335" s="3" t="s">
        <v>69</v>
      </c>
      <c r="K335" s="3" t="s">
        <v>26</v>
      </c>
      <c r="L335" s="4">
        <v>738</v>
      </c>
      <c r="M335" s="15" t="str">
        <f>TEXT(bd_Main[[#This Row],[Data]],"ddd")</f>
        <v>qui</v>
      </c>
      <c r="N335" s="15" t="str">
        <f>TEXT(bd_Main[[#This Row],[Data]],"MMM")</f>
        <v>jul</v>
      </c>
      <c r="O335" s="15" t="str">
        <f>TEXT(bd_Main[[#This Row],[Data]],"AAAA")</f>
        <v>2021</v>
      </c>
    </row>
    <row r="336" spans="1:15" x14ac:dyDescent="0.25">
      <c r="A336" s="7">
        <f t="shared" si="5"/>
        <v>335</v>
      </c>
      <c r="B336" s="2">
        <v>44385</v>
      </c>
      <c r="C336" s="3" t="s">
        <v>96</v>
      </c>
      <c r="D336" s="3" t="s">
        <v>74</v>
      </c>
      <c r="E336" s="3" t="s">
        <v>10</v>
      </c>
      <c r="F336" s="3" t="s">
        <v>81</v>
      </c>
      <c r="G336" s="3">
        <v>0</v>
      </c>
      <c r="H336" s="3" t="s">
        <v>30</v>
      </c>
      <c r="I336" s="3" t="s">
        <v>64</v>
      </c>
      <c r="J336" s="3" t="s">
        <v>70</v>
      </c>
      <c r="K336" s="3" t="s">
        <v>12</v>
      </c>
      <c r="L336" s="4">
        <v>2450</v>
      </c>
      <c r="M336" s="15" t="str">
        <f>TEXT(bd_Main[[#This Row],[Data]],"ddd")</f>
        <v>qui</v>
      </c>
      <c r="N336" s="15" t="str">
        <f>TEXT(bd_Main[[#This Row],[Data]],"MMM")</f>
        <v>jul</v>
      </c>
      <c r="O336" s="15" t="str">
        <f>TEXT(bd_Main[[#This Row],[Data]],"AAAA")</f>
        <v>2021</v>
      </c>
    </row>
    <row r="337" spans="1:15" x14ac:dyDescent="0.25">
      <c r="A337" s="7">
        <f t="shared" si="5"/>
        <v>336</v>
      </c>
      <c r="B337" s="2">
        <v>44388</v>
      </c>
      <c r="C337" s="3" t="s">
        <v>92</v>
      </c>
      <c r="D337" s="3" t="s">
        <v>74</v>
      </c>
      <c r="E337" s="3" t="s">
        <v>10</v>
      </c>
      <c r="F337" s="3" t="s">
        <v>79</v>
      </c>
      <c r="G337" s="3">
        <v>0</v>
      </c>
      <c r="H337" s="3" t="s">
        <v>25</v>
      </c>
      <c r="I337" s="3" t="s">
        <v>63</v>
      </c>
      <c r="J337" s="3" t="s">
        <v>71</v>
      </c>
      <c r="K337" s="3" t="s">
        <v>26</v>
      </c>
      <c r="L337" s="4">
        <v>321</v>
      </c>
      <c r="M337" s="15" t="str">
        <f>TEXT(bd_Main[[#This Row],[Data]],"ddd")</f>
        <v>dom</v>
      </c>
      <c r="N337" s="15" t="str">
        <f>TEXT(bd_Main[[#This Row],[Data]],"MMM")</f>
        <v>jul</v>
      </c>
      <c r="O337" s="15" t="str">
        <f>TEXT(bd_Main[[#This Row],[Data]],"AAAA")</f>
        <v>2021</v>
      </c>
    </row>
    <row r="338" spans="1:15" x14ac:dyDescent="0.25">
      <c r="A338" s="7">
        <f t="shared" si="5"/>
        <v>337</v>
      </c>
      <c r="B338" s="2">
        <v>44389</v>
      </c>
      <c r="C338" s="3" t="s">
        <v>33</v>
      </c>
      <c r="D338" s="3" t="s">
        <v>74</v>
      </c>
      <c r="E338" s="3" t="s">
        <v>17</v>
      </c>
      <c r="F338" s="3" t="s">
        <v>79</v>
      </c>
      <c r="G338" s="3">
        <v>0</v>
      </c>
      <c r="H338" s="3" t="s">
        <v>18</v>
      </c>
      <c r="I338" s="3" t="s">
        <v>61</v>
      </c>
      <c r="J338" s="3" t="s">
        <v>70</v>
      </c>
      <c r="K338" s="3" t="s">
        <v>12</v>
      </c>
      <c r="L338" s="4">
        <v>0</v>
      </c>
      <c r="M338" s="15" t="str">
        <f>TEXT(bd_Main[[#This Row],[Data]],"ddd")</f>
        <v>seg</v>
      </c>
      <c r="N338" s="15" t="str">
        <f>TEXT(bd_Main[[#This Row],[Data]],"MMM")</f>
        <v>jul</v>
      </c>
      <c r="O338" s="15" t="str">
        <f>TEXT(bd_Main[[#This Row],[Data]],"AAAA")</f>
        <v>2021</v>
      </c>
    </row>
    <row r="339" spans="1:15" x14ac:dyDescent="0.25">
      <c r="A339" s="7">
        <f t="shared" si="5"/>
        <v>338</v>
      </c>
      <c r="B339" s="2">
        <v>44390</v>
      </c>
      <c r="C339" s="3" t="s">
        <v>96</v>
      </c>
      <c r="D339" s="3" t="s">
        <v>74</v>
      </c>
      <c r="E339" s="3" t="s">
        <v>14</v>
      </c>
      <c r="F339" s="3" t="s">
        <v>82</v>
      </c>
      <c r="G339" s="3">
        <v>3.5</v>
      </c>
      <c r="H339" s="3" t="s">
        <v>24</v>
      </c>
      <c r="I339" s="3" t="s">
        <v>62</v>
      </c>
      <c r="J339" s="3" t="s">
        <v>71</v>
      </c>
      <c r="K339" s="3" t="s">
        <v>28</v>
      </c>
      <c r="L339" s="4">
        <v>2466</v>
      </c>
      <c r="M339" s="15" t="str">
        <f>TEXT(bd_Main[[#This Row],[Data]],"ddd")</f>
        <v>ter</v>
      </c>
      <c r="N339" s="15" t="str">
        <f>TEXT(bd_Main[[#This Row],[Data]],"MMM")</f>
        <v>jul</v>
      </c>
      <c r="O339" s="15" t="str">
        <f>TEXT(bd_Main[[#This Row],[Data]],"AAAA")</f>
        <v>2021</v>
      </c>
    </row>
    <row r="340" spans="1:15" x14ac:dyDescent="0.25">
      <c r="A340" s="7">
        <f t="shared" si="5"/>
        <v>339</v>
      </c>
      <c r="B340" s="2">
        <v>44396</v>
      </c>
      <c r="C340" s="3" t="s">
        <v>93</v>
      </c>
      <c r="D340" s="3" t="s">
        <v>74</v>
      </c>
      <c r="E340" s="3" t="s">
        <v>20</v>
      </c>
      <c r="F340" s="3" t="s">
        <v>80</v>
      </c>
      <c r="G340" s="3">
        <v>0</v>
      </c>
      <c r="H340" s="3" t="s">
        <v>30</v>
      </c>
      <c r="I340" s="3" t="s">
        <v>61</v>
      </c>
      <c r="J340" s="3" t="s">
        <v>69</v>
      </c>
      <c r="K340" s="3" t="s">
        <v>19</v>
      </c>
      <c r="L340" s="4">
        <v>0</v>
      </c>
      <c r="M340" s="15" t="str">
        <f>TEXT(bd_Main[[#This Row],[Data]],"ddd")</f>
        <v>seg</v>
      </c>
      <c r="N340" s="15" t="str">
        <f>TEXT(bd_Main[[#This Row],[Data]],"MMM")</f>
        <v>jul</v>
      </c>
      <c r="O340" s="15" t="str">
        <f>TEXT(bd_Main[[#This Row],[Data]],"AAAA")</f>
        <v>2021</v>
      </c>
    </row>
    <row r="341" spans="1:15" x14ac:dyDescent="0.25">
      <c r="A341" s="7">
        <f t="shared" si="5"/>
        <v>340</v>
      </c>
      <c r="B341" s="2">
        <v>44397</v>
      </c>
      <c r="C341" s="3" t="s">
        <v>96</v>
      </c>
      <c r="D341" s="3" t="s">
        <v>74</v>
      </c>
      <c r="E341" s="3" t="s">
        <v>17</v>
      </c>
      <c r="F341" s="3" t="s">
        <v>86</v>
      </c>
      <c r="G341" s="3">
        <v>0</v>
      </c>
      <c r="H341" s="3" t="s">
        <v>30</v>
      </c>
      <c r="I341" s="3" t="s">
        <v>64</v>
      </c>
      <c r="J341" s="3" t="s">
        <v>71</v>
      </c>
      <c r="K341" s="3" t="s">
        <v>31</v>
      </c>
      <c r="L341" s="4">
        <v>2514</v>
      </c>
      <c r="M341" s="15" t="str">
        <f>TEXT(bd_Main[[#This Row],[Data]],"ddd")</f>
        <v>ter</v>
      </c>
      <c r="N341" s="15" t="str">
        <f>TEXT(bd_Main[[#This Row],[Data]],"MMM")</f>
        <v>jul</v>
      </c>
      <c r="O341" s="15" t="str">
        <f>TEXT(bd_Main[[#This Row],[Data]],"AAAA")</f>
        <v>2021</v>
      </c>
    </row>
    <row r="342" spans="1:15" x14ac:dyDescent="0.25">
      <c r="A342" s="7">
        <f t="shared" si="5"/>
        <v>341</v>
      </c>
      <c r="B342" s="2">
        <v>44398</v>
      </c>
      <c r="C342" s="3" t="s">
        <v>95</v>
      </c>
      <c r="D342" s="3" t="s">
        <v>74</v>
      </c>
      <c r="E342" s="3" t="s">
        <v>20</v>
      </c>
      <c r="F342" s="3" t="s">
        <v>86</v>
      </c>
      <c r="G342" s="3">
        <v>1</v>
      </c>
      <c r="H342" s="3" t="s">
        <v>11</v>
      </c>
      <c r="I342" s="3" t="s">
        <v>62</v>
      </c>
      <c r="J342" s="3" t="s">
        <v>70</v>
      </c>
      <c r="K342" s="3" t="s">
        <v>19</v>
      </c>
      <c r="L342" s="4">
        <v>3959</v>
      </c>
      <c r="M342" s="15" t="str">
        <f>TEXT(bd_Main[[#This Row],[Data]],"ddd")</f>
        <v>qua</v>
      </c>
      <c r="N342" s="15" t="str">
        <f>TEXT(bd_Main[[#This Row],[Data]],"MMM")</f>
        <v>jul</v>
      </c>
      <c r="O342" s="15" t="str">
        <f>TEXT(bd_Main[[#This Row],[Data]],"AAAA")</f>
        <v>2021</v>
      </c>
    </row>
    <row r="343" spans="1:15" x14ac:dyDescent="0.25">
      <c r="A343" s="7">
        <f t="shared" si="5"/>
        <v>342</v>
      </c>
      <c r="B343" s="2">
        <v>44399</v>
      </c>
      <c r="C343" s="3" t="s">
        <v>92</v>
      </c>
      <c r="D343" s="3" t="s">
        <v>74</v>
      </c>
      <c r="E343" s="3" t="s">
        <v>10</v>
      </c>
      <c r="F343" s="3" t="s">
        <v>81</v>
      </c>
      <c r="G343" s="3">
        <v>0</v>
      </c>
      <c r="H343" s="3" t="s">
        <v>21</v>
      </c>
      <c r="I343" s="3" t="s">
        <v>64</v>
      </c>
      <c r="J343" s="3" t="s">
        <v>69</v>
      </c>
      <c r="K343" s="3" t="s">
        <v>31</v>
      </c>
      <c r="L343" s="4">
        <v>4530</v>
      </c>
      <c r="M343" s="15" t="str">
        <f>TEXT(bd_Main[[#This Row],[Data]],"ddd")</f>
        <v>qui</v>
      </c>
      <c r="N343" s="15" t="str">
        <f>TEXT(bd_Main[[#This Row],[Data]],"MMM")</f>
        <v>jul</v>
      </c>
      <c r="O343" s="15" t="str">
        <f>TEXT(bd_Main[[#This Row],[Data]],"AAAA")</f>
        <v>2021</v>
      </c>
    </row>
    <row r="344" spans="1:15" x14ac:dyDescent="0.25">
      <c r="A344" s="7">
        <f t="shared" si="5"/>
        <v>343</v>
      </c>
      <c r="B344" s="2">
        <v>44402</v>
      </c>
      <c r="C344" s="3" t="s">
        <v>95</v>
      </c>
      <c r="D344" s="3" t="s">
        <v>74</v>
      </c>
      <c r="E344" s="3" t="s">
        <v>10</v>
      </c>
      <c r="F344" s="3" t="s">
        <v>83</v>
      </c>
      <c r="G344" s="3">
        <v>1.5</v>
      </c>
      <c r="H344" s="3" t="s">
        <v>15</v>
      </c>
      <c r="I344" s="3" t="s">
        <v>62</v>
      </c>
      <c r="J344" s="3" t="s">
        <v>70</v>
      </c>
      <c r="K344" s="3" t="s">
        <v>22</v>
      </c>
      <c r="L344" s="4">
        <v>1241</v>
      </c>
      <c r="M344" s="15" t="str">
        <f>TEXT(bd_Main[[#This Row],[Data]],"ddd")</f>
        <v>dom</v>
      </c>
      <c r="N344" s="15" t="str">
        <f>TEXT(bd_Main[[#This Row],[Data]],"MMM")</f>
        <v>jul</v>
      </c>
      <c r="O344" s="15" t="str">
        <f>TEXT(bd_Main[[#This Row],[Data]],"AAAA")</f>
        <v>2021</v>
      </c>
    </row>
    <row r="345" spans="1:15" x14ac:dyDescent="0.25">
      <c r="A345" s="7">
        <f t="shared" si="5"/>
        <v>344</v>
      </c>
      <c r="B345" s="2">
        <v>44402</v>
      </c>
      <c r="C345" s="3" t="s">
        <v>94</v>
      </c>
      <c r="D345" s="3" t="s">
        <v>74</v>
      </c>
      <c r="E345" s="3" t="s">
        <v>10</v>
      </c>
      <c r="F345" s="3" t="s">
        <v>87</v>
      </c>
      <c r="G345" s="3">
        <v>1</v>
      </c>
      <c r="H345" s="3" t="s">
        <v>21</v>
      </c>
      <c r="I345" s="3" t="s">
        <v>62</v>
      </c>
      <c r="J345" s="3" t="s">
        <v>71</v>
      </c>
      <c r="K345" s="3" t="s">
        <v>16</v>
      </c>
      <c r="L345" s="4">
        <v>1301</v>
      </c>
      <c r="M345" s="15" t="str">
        <f>TEXT(bd_Main[[#This Row],[Data]],"ddd")</f>
        <v>dom</v>
      </c>
      <c r="N345" s="15" t="str">
        <f>TEXT(bd_Main[[#This Row],[Data]],"MMM")</f>
        <v>jul</v>
      </c>
      <c r="O345" s="15" t="str">
        <f>TEXT(bd_Main[[#This Row],[Data]],"AAAA")</f>
        <v>2021</v>
      </c>
    </row>
    <row r="346" spans="1:15" x14ac:dyDescent="0.25">
      <c r="A346" s="7">
        <f t="shared" si="5"/>
        <v>345</v>
      </c>
      <c r="B346" s="2">
        <v>44408</v>
      </c>
      <c r="C346" s="3" t="s">
        <v>33</v>
      </c>
      <c r="D346" s="3" t="s">
        <v>74</v>
      </c>
      <c r="E346" s="3" t="s">
        <v>14</v>
      </c>
      <c r="F346" s="3" t="s">
        <v>83</v>
      </c>
      <c r="G346" s="3">
        <v>0</v>
      </c>
      <c r="H346" s="3" t="s">
        <v>18</v>
      </c>
      <c r="I346" s="3" t="s">
        <v>63</v>
      </c>
      <c r="J346" s="3" t="s">
        <v>70</v>
      </c>
      <c r="K346" s="3" t="s">
        <v>22</v>
      </c>
      <c r="L346" s="4">
        <v>140</v>
      </c>
      <c r="M346" s="15" t="str">
        <f>TEXT(bd_Main[[#This Row],[Data]],"ddd")</f>
        <v>sáb</v>
      </c>
      <c r="N346" s="15" t="str">
        <f>TEXT(bd_Main[[#This Row],[Data]],"MMM")</f>
        <v>jul</v>
      </c>
      <c r="O346" s="15" t="str">
        <f>TEXT(bd_Main[[#This Row],[Data]],"AAAA")</f>
        <v>2021</v>
      </c>
    </row>
    <row r="347" spans="1:15" x14ac:dyDescent="0.25">
      <c r="A347" s="7">
        <f t="shared" si="5"/>
        <v>346</v>
      </c>
      <c r="B347" s="2">
        <v>44410</v>
      </c>
      <c r="C347" s="3" t="s">
        <v>95</v>
      </c>
      <c r="D347" s="3" t="s">
        <v>74</v>
      </c>
      <c r="E347" s="3" t="s">
        <v>10</v>
      </c>
      <c r="F347" s="3" t="s">
        <v>82</v>
      </c>
      <c r="G347" s="3">
        <v>0</v>
      </c>
      <c r="H347" s="3" t="s">
        <v>30</v>
      </c>
      <c r="I347" s="3" t="s">
        <v>64</v>
      </c>
      <c r="J347" s="3" t="s">
        <v>70</v>
      </c>
      <c r="K347" s="3" t="s">
        <v>26</v>
      </c>
      <c r="L347" s="4">
        <v>634</v>
      </c>
      <c r="M347" s="15" t="str">
        <f>TEXT(bd_Main[[#This Row],[Data]],"ddd")</f>
        <v>seg</v>
      </c>
      <c r="N347" s="15" t="str">
        <f>TEXT(bd_Main[[#This Row],[Data]],"MMM")</f>
        <v>ago</v>
      </c>
      <c r="O347" s="15" t="str">
        <f>TEXT(bd_Main[[#This Row],[Data]],"AAAA")</f>
        <v>2021</v>
      </c>
    </row>
    <row r="348" spans="1:15" x14ac:dyDescent="0.25">
      <c r="A348" s="7">
        <f t="shared" si="5"/>
        <v>347</v>
      </c>
      <c r="B348" s="2">
        <v>44411</v>
      </c>
      <c r="C348" s="3" t="s">
        <v>33</v>
      </c>
      <c r="D348" s="3" t="s">
        <v>74</v>
      </c>
      <c r="E348" s="3" t="s">
        <v>10</v>
      </c>
      <c r="F348" s="3" t="s">
        <v>84</v>
      </c>
      <c r="G348" s="3">
        <v>0</v>
      </c>
      <c r="H348" s="3" t="s">
        <v>30</v>
      </c>
      <c r="I348" s="3" t="s">
        <v>64</v>
      </c>
      <c r="J348" s="3" t="s">
        <v>69</v>
      </c>
      <c r="K348" s="3" t="s">
        <v>28</v>
      </c>
      <c r="L348" s="4">
        <v>3204</v>
      </c>
      <c r="M348" s="15" t="str">
        <f>TEXT(bd_Main[[#This Row],[Data]],"ddd")</f>
        <v>ter</v>
      </c>
      <c r="N348" s="15" t="str">
        <f>TEXT(bd_Main[[#This Row],[Data]],"MMM")</f>
        <v>ago</v>
      </c>
      <c r="O348" s="15" t="str">
        <f>TEXT(bd_Main[[#This Row],[Data]],"AAAA")</f>
        <v>2021</v>
      </c>
    </row>
    <row r="349" spans="1:15" x14ac:dyDescent="0.25">
      <c r="A349" s="7">
        <f t="shared" si="5"/>
        <v>348</v>
      </c>
      <c r="B349" s="2">
        <v>44415</v>
      </c>
      <c r="C349" s="3" t="s">
        <v>95</v>
      </c>
      <c r="D349" s="3" t="s">
        <v>74</v>
      </c>
      <c r="E349" s="3" t="s">
        <v>14</v>
      </c>
      <c r="F349" s="3" t="s">
        <v>80</v>
      </c>
      <c r="G349" s="3">
        <v>0</v>
      </c>
      <c r="H349" s="3" t="s">
        <v>24</v>
      </c>
      <c r="I349" s="3" t="s">
        <v>63</v>
      </c>
      <c r="J349" s="3" t="s">
        <v>69</v>
      </c>
      <c r="K349" s="3" t="s">
        <v>31</v>
      </c>
      <c r="L349" s="4">
        <v>453</v>
      </c>
      <c r="M349" s="15" t="str">
        <f>TEXT(bd_Main[[#This Row],[Data]],"ddd")</f>
        <v>sáb</v>
      </c>
      <c r="N349" s="15" t="str">
        <f>TEXT(bd_Main[[#This Row],[Data]],"MMM")</f>
        <v>ago</v>
      </c>
      <c r="O349" s="15" t="str">
        <f>TEXT(bd_Main[[#This Row],[Data]],"AAAA")</f>
        <v>2021</v>
      </c>
    </row>
    <row r="350" spans="1:15" x14ac:dyDescent="0.25">
      <c r="A350" s="7">
        <f t="shared" si="5"/>
        <v>349</v>
      </c>
      <c r="B350" s="2">
        <v>44415</v>
      </c>
      <c r="C350" s="3" t="s">
        <v>91</v>
      </c>
      <c r="D350" s="3" t="s">
        <v>74</v>
      </c>
      <c r="E350" s="3" t="s">
        <v>10</v>
      </c>
      <c r="F350" s="3" t="s">
        <v>80</v>
      </c>
      <c r="G350" s="3">
        <v>3</v>
      </c>
      <c r="H350" s="3" t="s">
        <v>21</v>
      </c>
      <c r="I350" s="3" t="s">
        <v>62</v>
      </c>
      <c r="J350" s="3" t="s">
        <v>69</v>
      </c>
      <c r="K350" s="3" t="s">
        <v>16</v>
      </c>
      <c r="L350" s="4">
        <v>2937</v>
      </c>
      <c r="M350" s="15" t="str">
        <f>TEXT(bd_Main[[#This Row],[Data]],"ddd")</f>
        <v>sáb</v>
      </c>
      <c r="N350" s="15" t="str">
        <f>TEXT(bd_Main[[#This Row],[Data]],"MMM")</f>
        <v>ago</v>
      </c>
      <c r="O350" s="15" t="str">
        <f>TEXT(bd_Main[[#This Row],[Data]],"AAAA")</f>
        <v>2021</v>
      </c>
    </row>
    <row r="351" spans="1:15" x14ac:dyDescent="0.25">
      <c r="A351" s="7">
        <f t="shared" si="5"/>
        <v>350</v>
      </c>
      <c r="B351" s="2">
        <v>44418</v>
      </c>
      <c r="C351" s="3" t="s">
        <v>13</v>
      </c>
      <c r="D351" s="3" t="s">
        <v>74</v>
      </c>
      <c r="E351" s="3" t="s">
        <v>20</v>
      </c>
      <c r="F351" s="3" t="s">
        <v>85</v>
      </c>
      <c r="G351" s="3">
        <v>0</v>
      </c>
      <c r="H351" s="3" t="s">
        <v>25</v>
      </c>
      <c r="I351" s="3" t="s">
        <v>61</v>
      </c>
      <c r="J351" s="3" t="s">
        <v>70</v>
      </c>
      <c r="K351" s="3" t="s">
        <v>19</v>
      </c>
      <c r="L351" s="4">
        <v>0</v>
      </c>
      <c r="M351" s="15" t="str">
        <f>TEXT(bd_Main[[#This Row],[Data]],"ddd")</f>
        <v>ter</v>
      </c>
      <c r="N351" s="15" t="str">
        <f>TEXT(bd_Main[[#This Row],[Data]],"MMM")</f>
        <v>ago</v>
      </c>
      <c r="O351" s="15" t="str">
        <f>TEXT(bd_Main[[#This Row],[Data]],"AAAA")</f>
        <v>2021</v>
      </c>
    </row>
    <row r="352" spans="1:15" x14ac:dyDescent="0.25">
      <c r="A352" s="7">
        <f t="shared" si="5"/>
        <v>351</v>
      </c>
      <c r="B352" s="2">
        <v>44420</v>
      </c>
      <c r="C352" s="3" t="s">
        <v>96</v>
      </c>
      <c r="D352" s="3" t="s">
        <v>74</v>
      </c>
      <c r="E352" s="3" t="s">
        <v>17</v>
      </c>
      <c r="F352" s="3" t="s">
        <v>80</v>
      </c>
      <c r="G352" s="3">
        <v>0</v>
      </c>
      <c r="H352" s="3" t="s">
        <v>21</v>
      </c>
      <c r="I352" s="3" t="s">
        <v>61</v>
      </c>
      <c r="J352" s="3" t="s">
        <v>71</v>
      </c>
      <c r="K352" s="3" t="s">
        <v>16</v>
      </c>
      <c r="L352" s="4">
        <v>0</v>
      </c>
      <c r="M352" s="15" t="str">
        <f>TEXT(bd_Main[[#This Row],[Data]],"ddd")</f>
        <v>qui</v>
      </c>
      <c r="N352" s="15" t="str">
        <f>TEXT(bd_Main[[#This Row],[Data]],"MMM")</f>
        <v>ago</v>
      </c>
      <c r="O352" s="15" t="str">
        <f>TEXT(bd_Main[[#This Row],[Data]],"AAAA")</f>
        <v>2021</v>
      </c>
    </row>
    <row r="353" spans="1:15" x14ac:dyDescent="0.25">
      <c r="A353" s="7">
        <f t="shared" si="5"/>
        <v>352</v>
      </c>
      <c r="B353" s="2">
        <v>44421</v>
      </c>
      <c r="C353" s="3" t="s">
        <v>33</v>
      </c>
      <c r="D353" s="3" t="s">
        <v>74</v>
      </c>
      <c r="E353" s="3" t="s">
        <v>17</v>
      </c>
      <c r="F353" s="3" t="s">
        <v>83</v>
      </c>
      <c r="G353" s="3">
        <v>0</v>
      </c>
      <c r="H353" s="3" t="s">
        <v>21</v>
      </c>
      <c r="I353" s="3" t="s">
        <v>63</v>
      </c>
      <c r="J353" s="3" t="s">
        <v>69</v>
      </c>
      <c r="K353" s="3" t="s">
        <v>22</v>
      </c>
      <c r="L353" s="4">
        <v>53</v>
      </c>
      <c r="M353" s="15" t="str">
        <f>TEXT(bd_Main[[#This Row],[Data]],"ddd")</f>
        <v>sex</v>
      </c>
      <c r="N353" s="15" t="str">
        <f>TEXT(bd_Main[[#This Row],[Data]],"MMM")</f>
        <v>ago</v>
      </c>
      <c r="O353" s="15" t="str">
        <f>TEXT(bd_Main[[#This Row],[Data]],"AAAA")</f>
        <v>2021</v>
      </c>
    </row>
    <row r="354" spans="1:15" x14ac:dyDescent="0.25">
      <c r="A354" s="7">
        <f t="shared" si="5"/>
        <v>353</v>
      </c>
      <c r="B354" s="2">
        <v>44424</v>
      </c>
      <c r="C354" s="3" t="s">
        <v>95</v>
      </c>
      <c r="D354" s="3" t="s">
        <v>74</v>
      </c>
      <c r="E354" s="3" t="s">
        <v>14</v>
      </c>
      <c r="F354" s="3" t="s">
        <v>82</v>
      </c>
      <c r="G354" s="3">
        <v>2</v>
      </c>
      <c r="H354" s="3" t="s">
        <v>25</v>
      </c>
      <c r="I354" s="3" t="s">
        <v>62</v>
      </c>
      <c r="J354" s="3" t="s">
        <v>70</v>
      </c>
      <c r="K354" s="3" t="s">
        <v>22</v>
      </c>
      <c r="L354" s="4">
        <v>4160</v>
      </c>
      <c r="M354" s="15" t="str">
        <f>TEXT(bd_Main[[#This Row],[Data]],"ddd")</f>
        <v>seg</v>
      </c>
      <c r="N354" s="15" t="str">
        <f>TEXT(bd_Main[[#This Row],[Data]],"MMM")</f>
        <v>ago</v>
      </c>
      <c r="O354" s="15" t="str">
        <f>TEXT(bd_Main[[#This Row],[Data]],"AAAA")</f>
        <v>2021</v>
      </c>
    </row>
    <row r="355" spans="1:15" x14ac:dyDescent="0.25">
      <c r="A355" s="7">
        <f t="shared" si="5"/>
        <v>354</v>
      </c>
      <c r="B355" s="2">
        <v>44426</v>
      </c>
      <c r="C355" s="3" t="s">
        <v>96</v>
      </c>
      <c r="D355" s="3" t="s">
        <v>74</v>
      </c>
      <c r="E355" s="3" t="s">
        <v>14</v>
      </c>
      <c r="F355" s="3" t="s">
        <v>85</v>
      </c>
      <c r="G355" s="3">
        <v>4.5</v>
      </c>
      <c r="H355" s="3" t="s">
        <v>18</v>
      </c>
      <c r="I355" s="3" t="s">
        <v>62</v>
      </c>
      <c r="J355" s="3" t="s">
        <v>71</v>
      </c>
      <c r="K355" s="3" t="s">
        <v>27</v>
      </c>
      <c r="L355" s="4">
        <v>2988</v>
      </c>
      <c r="M355" s="15" t="str">
        <f>TEXT(bd_Main[[#This Row],[Data]],"ddd")</f>
        <v>qua</v>
      </c>
      <c r="N355" s="15" t="str">
        <f>TEXT(bd_Main[[#This Row],[Data]],"MMM")</f>
        <v>ago</v>
      </c>
      <c r="O355" s="15" t="str">
        <f>TEXT(bd_Main[[#This Row],[Data]],"AAAA")</f>
        <v>2021</v>
      </c>
    </row>
    <row r="356" spans="1:15" x14ac:dyDescent="0.25">
      <c r="A356" s="7">
        <f t="shared" si="5"/>
        <v>355</v>
      </c>
      <c r="B356" s="2">
        <v>44427</v>
      </c>
      <c r="C356" s="3" t="s">
        <v>94</v>
      </c>
      <c r="D356" s="3" t="s">
        <v>75</v>
      </c>
      <c r="E356" s="3" t="s">
        <v>17</v>
      </c>
      <c r="F356" s="3" t="s">
        <v>84</v>
      </c>
      <c r="G356" s="3">
        <v>0</v>
      </c>
      <c r="H356" s="3" t="s">
        <v>29</v>
      </c>
      <c r="I356" s="3" t="s">
        <v>61</v>
      </c>
      <c r="J356" s="3" t="s">
        <v>70</v>
      </c>
      <c r="K356" s="3" t="s">
        <v>12</v>
      </c>
      <c r="L356" s="4">
        <v>0</v>
      </c>
      <c r="M356" s="15" t="str">
        <f>TEXT(bd_Main[[#This Row],[Data]],"ddd")</f>
        <v>qui</v>
      </c>
      <c r="N356" s="15" t="str">
        <f>TEXT(bd_Main[[#This Row],[Data]],"MMM")</f>
        <v>ago</v>
      </c>
      <c r="O356" s="15" t="str">
        <f>TEXT(bd_Main[[#This Row],[Data]],"AAAA")</f>
        <v>2021</v>
      </c>
    </row>
    <row r="357" spans="1:15" x14ac:dyDescent="0.25">
      <c r="A357" s="7">
        <f t="shared" si="5"/>
        <v>356</v>
      </c>
      <c r="B357" s="2">
        <v>44429</v>
      </c>
      <c r="C357" s="3" t="s">
        <v>33</v>
      </c>
      <c r="D357" s="3" t="s">
        <v>74</v>
      </c>
      <c r="E357" s="3" t="s">
        <v>10</v>
      </c>
      <c r="F357" s="3" t="s">
        <v>86</v>
      </c>
      <c r="G357" s="3">
        <v>3.5</v>
      </c>
      <c r="H357" s="3" t="s">
        <v>15</v>
      </c>
      <c r="I357" s="3" t="s">
        <v>62</v>
      </c>
      <c r="J357" s="3" t="s">
        <v>69</v>
      </c>
      <c r="K357" s="3" t="s">
        <v>12</v>
      </c>
      <c r="L357" s="4">
        <v>1155</v>
      </c>
      <c r="M357" s="15" t="str">
        <f>TEXT(bd_Main[[#This Row],[Data]],"ddd")</f>
        <v>sáb</v>
      </c>
      <c r="N357" s="15" t="str">
        <f>TEXT(bd_Main[[#This Row],[Data]],"MMM")</f>
        <v>ago</v>
      </c>
      <c r="O357" s="15" t="str">
        <f>TEXT(bd_Main[[#This Row],[Data]],"AAAA")</f>
        <v>2021</v>
      </c>
    </row>
    <row r="358" spans="1:15" x14ac:dyDescent="0.25">
      <c r="A358" s="7">
        <f t="shared" si="5"/>
        <v>357</v>
      </c>
      <c r="B358" s="2">
        <v>44430</v>
      </c>
      <c r="C358" s="3" t="s">
        <v>90</v>
      </c>
      <c r="D358" s="3" t="s">
        <v>74</v>
      </c>
      <c r="E358" s="3" t="s">
        <v>10</v>
      </c>
      <c r="F358" s="3" t="s">
        <v>81</v>
      </c>
      <c r="G358" s="3">
        <v>0</v>
      </c>
      <c r="H358" s="3" t="s">
        <v>21</v>
      </c>
      <c r="I358" s="3" t="s">
        <v>61</v>
      </c>
      <c r="J358" s="3" t="s">
        <v>71</v>
      </c>
      <c r="K358" s="3" t="s">
        <v>31</v>
      </c>
      <c r="L358" s="4">
        <v>0</v>
      </c>
      <c r="M358" s="15" t="str">
        <f>TEXT(bd_Main[[#This Row],[Data]],"ddd")</f>
        <v>dom</v>
      </c>
      <c r="N358" s="15" t="str">
        <f>TEXT(bd_Main[[#This Row],[Data]],"MMM")</f>
        <v>ago</v>
      </c>
      <c r="O358" s="15" t="str">
        <f>TEXT(bd_Main[[#This Row],[Data]],"AAAA")</f>
        <v>2021</v>
      </c>
    </row>
    <row r="359" spans="1:15" x14ac:dyDescent="0.25">
      <c r="A359" s="7">
        <f t="shared" si="5"/>
        <v>358</v>
      </c>
      <c r="B359" s="2">
        <v>44430</v>
      </c>
      <c r="C359" s="3" t="s">
        <v>96</v>
      </c>
      <c r="D359" s="3" t="s">
        <v>74</v>
      </c>
      <c r="E359" s="3" t="s">
        <v>20</v>
      </c>
      <c r="F359" s="3" t="s">
        <v>82</v>
      </c>
      <c r="G359" s="3">
        <v>2</v>
      </c>
      <c r="H359" s="3" t="s">
        <v>32</v>
      </c>
      <c r="I359" s="3" t="s">
        <v>62</v>
      </c>
      <c r="J359" s="3" t="s">
        <v>70</v>
      </c>
      <c r="K359" s="3" t="s">
        <v>22</v>
      </c>
      <c r="L359" s="4">
        <v>1902</v>
      </c>
      <c r="M359" s="15" t="str">
        <f>TEXT(bd_Main[[#This Row],[Data]],"ddd")</f>
        <v>dom</v>
      </c>
      <c r="N359" s="15" t="str">
        <f>TEXT(bd_Main[[#This Row],[Data]],"MMM")</f>
        <v>ago</v>
      </c>
      <c r="O359" s="15" t="str">
        <f>TEXT(bd_Main[[#This Row],[Data]],"AAAA")</f>
        <v>2021</v>
      </c>
    </row>
    <row r="360" spans="1:15" x14ac:dyDescent="0.25">
      <c r="A360" s="7">
        <f t="shared" si="5"/>
        <v>359</v>
      </c>
      <c r="B360" s="2">
        <v>44430</v>
      </c>
      <c r="C360" s="3" t="s">
        <v>95</v>
      </c>
      <c r="D360" s="3" t="s">
        <v>74</v>
      </c>
      <c r="E360" s="3" t="s">
        <v>14</v>
      </c>
      <c r="F360" s="3" t="s">
        <v>82</v>
      </c>
      <c r="G360" s="3">
        <v>0</v>
      </c>
      <c r="H360" s="3" t="s">
        <v>32</v>
      </c>
      <c r="I360" s="3" t="s">
        <v>61</v>
      </c>
      <c r="J360" s="3" t="s">
        <v>69</v>
      </c>
      <c r="K360" s="3" t="s">
        <v>26</v>
      </c>
      <c r="L360" s="4">
        <v>0</v>
      </c>
      <c r="M360" s="15" t="str">
        <f>TEXT(bd_Main[[#This Row],[Data]],"ddd")</f>
        <v>dom</v>
      </c>
      <c r="N360" s="15" t="str">
        <f>TEXT(bd_Main[[#This Row],[Data]],"MMM")</f>
        <v>ago</v>
      </c>
      <c r="O360" s="15" t="str">
        <f>TEXT(bd_Main[[#This Row],[Data]],"AAAA")</f>
        <v>2021</v>
      </c>
    </row>
    <row r="361" spans="1:15" x14ac:dyDescent="0.25">
      <c r="A361" s="7">
        <f t="shared" si="5"/>
        <v>360</v>
      </c>
      <c r="B361" s="2">
        <v>44431</v>
      </c>
      <c r="C361" s="3" t="s">
        <v>94</v>
      </c>
      <c r="D361" s="3" t="s">
        <v>74</v>
      </c>
      <c r="E361" s="3" t="s">
        <v>10</v>
      </c>
      <c r="F361" s="3" t="s">
        <v>79</v>
      </c>
      <c r="G361" s="3">
        <v>2.5</v>
      </c>
      <c r="H361" s="3" t="s">
        <v>18</v>
      </c>
      <c r="I361" s="3" t="s">
        <v>62</v>
      </c>
      <c r="J361" s="3" t="s">
        <v>70</v>
      </c>
      <c r="K361" s="3" t="s">
        <v>22</v>
      </c>
      <c r="L361" s="4">
        <v>3817</v>
      </c>
      <c r="M361" s="15" t="str">
        <f>TEXT(bd_Main[[#This Row],[Data]],"ddd")</f>
        <v>seg</v>
      </c>
      <c r="N361" s="15" t="str">
        <f>TEXT(bd_Main[[#This Row],[Data]],"MMM")</f>
        <v>ago</v>
      </c>
      <c r="O361" s="15" t="str">
        <f>TEXT(bd_Main[[#This Row],[Data]],"AAAA")</f>
        <v>2021</v>
      </c>
    </row>
    <row r="362" spans="1:15" x14ac:dyDescent="0.25">
      <c r="A362" s="7">
        <f t="shared" si="5"/>
        <v>361</v>
      </c>
      <c r="B362" s="2">
        <v>44432</v>
      </c>
      <c r="C362" s="3" t="s">
        <v>94</v>
      </c>
      <c r="D362" s="3" t="s">
        <v>75</v>
      </c>
      <c r="E362" s="3" t="s">
        <v>14</v>
      </c>
      <c r="F362" s="3" t="s">
        <v>79</v>
      </c>
      <c r="G362" s="3">
        <v>0</v>
      </c>
      <c r="H362" s="3" t="s">
        <v>29</v>
      </c>
      <c r="I362" s="3" t="s">
        <v>61</v>
      </c>
      <c r="J362" s="3" t="s">
        <v>69</v>
      </c>
      <c r="K362" s="3" t="s">
        <v>26</v>
      </c>
      <c r="L362" s="4">
        <v>0</v>
      </c>
      <c r="M362" s="15" t="str">
        <f>TEXT(bd_Main[[#This Row],[Data]],"ddd")</f>
        <v>ter</v>
      </c>
      <c r="N362" s="15" t="str">
        <f>TEXT(bd_Main[[#This Row],[Data]],"MMM")</f>
        <v>ago</v>
      </c>
      <c r="O362" s="15" t="str">
        <f>TEXT(bd_Main[[#This Row],[Data]],"AAAA")</f>
        <v>2021</v>
      </c>
    </row>
    <row r="363" spans="1:15" x14ac:dyDescent="0.25">
      <c r="A363" s="7">
        <f t="shared" si="5"/>
        <v>362</v>
      </c>
      <c r="B363" s="2">
        <v>44437</v>
      </c>
      <c r="C363" s="3" t="s">
        <v>92</v>
      </c>
      <c r="D363" s="3" t="s">
        <v>74</v>
      </c>
      <c r="E363" s="3" t="s">
        <v>10</v>
      </c>
      <c r="F363" s="3" t="s">
        <v>87</v>
      </c>
      <c r="G363" s="3">
        <v>0</v>
      </c>
      <c r="H363" s="3" t="s">
        <v>18</v>
      </c>
      <c r="I363" s="3" t="s">
        <v>61</v>
      </c>
      <c r="J363" s="3" t="s">
        <v>69</v>
      </c>
      <c r="K363" s="3" t="s">
        <v>31</v>
      </c>
      <c r="L363" s="4">
        <v>0</v>
      </c>
      <c r="M363" s="15" t="str">
        <f>TEXT(bd_Main[[#This Row],[Data]],"ddd")</f>
        <v>dom</v>
      </c>
      <c r="N363" s="15" t="str">
        <f>TEXT(bd_Main[[#This Row],[Data]],"MMM")</f>
        <v>ago</v>
      </c>
      <c r="O363" s="15" t="str">
        <f>TEXT(bd_Main[[#This Row],[Data]],"AAAA")</f>
        <v>2021</v>
      </c>
    </row>
    <row r="364" spans="1:15" x14ac:dyDescent="0.25">
      <c r="A364" s="7">
        <f t="shared" si="5"/>
        <v>363</v>
      </c>
      <c r="B364" s="2">
        <v>44437</v>
      </c>
      <c r="C364" s="3" t="s">
        <v>92</v>
      </c>
      <c r="D364" s="3" t="s">
        <v>74</v>
      </c>
      <c r="E364" s="3" t="s">
        <v>14</v>
      </c>
      <c r="F364" s="3" t="s">
        <v>83</v>
      </c>
      <c r="G364" s="3">
        <v>0</v>
      </c>
      <c r="H364" s="3" t="s">
        <v>32</v>
      </c>
      <c r="I364" s="3" t="s">
        <v>63</v>
      </c>
      <c r="J364" s="3" t="s">
        <v>69</v>
      </c>
      <c r="K364" s="3" t="s">
        <v>28</v>
      </c>
      <c r="L364" s="4">
        <v>302</v>
      </c>
      <c r="M364" s="15" t="str">
        <f>TEXT(bd_Main[[#This Row],[Data]],"ddd")</f>
        <v>dom</v>
      </c>
      <c r="N364" s="15" t="str">
        <f>TEXT(bd_Main[[#This Row],[Data]],"MMM")</f>
        <v>ago</v>
      </c>
      <c r="O364" s="15" t="str">
        <f>TEXT(bd_Main[[#This Row],[Data]],"AAAA")</f>
        <v>2021</v>
      </c>
    </row>
    <row r="365" spans="1:15" x14ac:dyDescent="0.25">
      <c r="A365" s="7">
        <f t="shared" si="5"/>
        <v>364</v>
      </c>
      <c r="B365" s="2">
        <v>44440</v>
      </c>
      <c r="C365" s="3" t="s">
        <v>95</v>
      </c>
      <c r="D365" s="3" t="s">
        <v>74</v>
      </c>
      <c r="E365" s="3" t="s">
        <v>17</v>
      </c>
      <c r="F365" s="3" t="s">
        <v>85</v>
      </c>
      <c r="G365" s="3">
        <v>0</v>
      </c>
      <c r="H365" s="3" t="s">
        <v>21</v>
      </c>
      <c r="I365" s="3" t="s">
        <v>63</v>
      </c>
      <c r="J365" s="3" t="s">
        <v>70</v>
      </c>
      <c r="K365" s="3" t="s">
        <v>22</v>
      </c>
      <c r="L365" s="4">
        <v>95</v>
      </c>
      <c r="M365" s="15" t="str">
        <f>TEXT(bd_Main[[#This Row],[Data]],"ddd")</f>
        <v>qua</v>
      </c>
      <c r="N365" s="15" t="str">
        <f>TEXT(bd_Main[[#This Row],[Data]],"MMM")</f>
        <v>set</v>
      </c>
      <c r="O365" s="15" t="str">
        <f>TEXT(bd_Main[[#This Row],[Data]],"AAAA")</f>
        <v>2021</v>
      </c>
    </row>
    <row r="366" spans="1:15" x14ac:dyDescent="0.25">
      <c r="A366" s="7">
        <f t="shared" si="5"/>
        <v>365</v>
      </c>
      <c r="B366" s="2">
        <v>44442</v>
      </c>
      <c r="C366" s="3" t="s">
        <v>94</v>
      </c>
      <c r="D366" s="3" t="s">
        <v>74</v>
      </c>
      <c r="E366" s="3" t="s">
        <v>10</v>
      </c>
      <c r="F366" s="3" t="s">
        <v>85</v>
      </c>
      <c r="G366" s="3">
        <v>0</v>
      </c>
      <c r="H366" s="3" t="s">
        <v>18</v>
      </c>
      <c r="I366" s="3" t="s">
        <v>64</v>
      </c>
      <c r="J366" s="3" t="s">
        <v>69</v>
      </c>
      <c r="K366" s="3" t="s">
        <v>27</v>
      </c>
      <c r="L366" s="4">
        <v>4834</v>
      </c>
      <c r="M366" s="15" t="str">
        <f>TEXT(bd_Main[[#This Row],[Data]],"ddd")</f>
        <v>sex</v>
      </c>
      <c r="N366" s="15" t="str">
        <f>TEXT(bd_Main[[#This Row],[Data]],"MMM")</f>
        <v>set</v>
      </c>
      <c r="O366" s="15" t="str">
        <f>TEXT(bd_Main[[#This Row],[Data]],"AAAA")</f>
        <v>2021</v>
      </c>
    </row>
    <row r="367" spans="1:15" x14ac:dyDescent="0.25">
      <c r="A367" s="7">
        <f t="shared" si="5"/>
        <v>366</v>
      </c>
      <c r="B367" s="2">
        <v>44442</v>
      </c>
      <c r="C367" s="3" t="s">
        <v>92</v>
      </c>
      <c r="D367" s="3" t="s">
        <v>74</v>
      </c>
      <c r="E367" s="3" t="s">
        <v>10</v>
      </c>
      <c r="F367" s="3" t="s">
        <v>80</v>
      </c>
      <c r="G367" s="3">
        <v>0</v>
      </c>
      <c r="H367" s="3" t="s">
        <v>11</v>
      </c>
      <c r="I367" s="3" t="s">
        <v>61</v>
      </c>
      <c r="J367" s="3" t="s">
        <v>70</v>
      </c>
      <c r="K367" s="3" t="s">
        <v>16</v>
      </c>
      <c r="L367" s="4">
        <v>0</v>
      </c>
      <c r="M367" s="15" t="str">
        <f>TEXT(bd_Main[[#This Row],[Data]],"ddd")</f>
        <v>sex</v>
      </c>
      <c r="N367" s="15" t="str">
        <f>TEXT(bd_Main[[#This Row],[Data]],"MMM")</f>
        <v>set</v>
      </c>
      <c r="O367" s="15" t="str">
        <f>TEXT(bd_Main[[#This Row],[Data]],"AAAA")</f>
        <v>2021</v>
      </c>
    </row>
    <row r="368" spans="1:15" x14ac:dyDescent="0.25">
      <c r="A368" s="7">
        <f t="shared" si="5"/>
        <v>367</v>
      </c>
      <c r="B368" s="2">
        <v>44445</v>
      </c>
      <c r="C368" s="3" t="s">
        <v>90</v>
      </c>
      <c r="D368" s="3" t="s">
        <v>75</v>
      </c>
      <c r="E368" s="3" t="s">
        <v>20</v>
      </c>
      <c r="F368" s="3" t="s">
        <v>80</v>
      </c>
      <c r="G368" s="3">
        <v>0</v>
      </c>
      <c r="H368" s="3" t="s">
        <v>29</v>
      </c>
      <c r="I368" s="3" t="s">
        <v>64</v>
      </c>
      <c r="J368" s="3" t="s">
        <v>70</v>
      </c>
      <c r="K368" s="3" t="s">
        <v>28</v>
      </c>
      <c r="L368" s="4">
        <v>1433</v>
      </c>
      <c r="M368" s="15" t="str">
        <f>TEXT(bd_Main[[#This Row],[Data]],"ddd")</f>
        <v>seg</v>
      </c>
      <c r="N368" s="15" t="str">
        <f>TEXT(bd_Main[[#This Row],[Data]],"MMM")</f>
        <v>set</v>
      </c>
      <c r="O368" s="15" t="str">
        <f>TEXT(bd_Main[[#This Row],[Data]],"AAAA")</f>
        <v>2021</v>
      </c>
    </row>
    <row r="369" spans="1:15" x14ac:dyDescent="0.25">
      <c r="A369" s="7">
        <f t="shared" si="5"/>
        <v>368</v>
      </c>
      <c r="B369" s="2">
        <v>44449</v>
      </c>
      <c r="C369" s="3" t="s">
        <v>93</v>
      </c>
      <c r="D369" s="3" t="s">
        <v>74</v>
      </c>
      <c r="E369" s="3" t="s">
        <v>14</v>
      </c>
      <c r="F369" s="3" t="s">
        <v>80</v>
      </c>
      <c r="G369" s="3">
        <v>0</v>
      </c>
      <c r="H369" s="3" t="s">
        <v>32</v>
      </c>
      <c r="I369" s="3" t="s">
        <v>61</v>
      </c>
      <c r="J369" s="3" t="s">
        <v>70</v>
      </c>
      <c r="K369" s="3" t="s">
        <v>26</v>
      </c>
      <c r="L369" s="4">
        <v>0</v>
      </c>
      <c r="M369" s="15" t="str">
        <f>TEXT(bd_Main[[#This Row],[Data]],"ddd")</f>
        <v>sex</v>
      </c>
      <c r="N369" s="15" t="str">
        <f>TEXT(bd_Main[[#This Row],[Data]],"MMM")</f>
        <v>set</v>
      </c>
      <c r="O369" s="15" t="str">
        <f>TEXT(bd_Main[[#This Row],[Data]],"AAAA")</f>
        <v>2021</v>
      </c>
    </row>
    <row r="370" spans="1:15" x14ac:dyDescent="0.25">
      <c r="A370" s="7">
        <f t="shared" si="5"/>
        <v>369</v>
      </c>
      <c r="B370" s="2">
        <v>44450</v>
      </c>
      <c r="C370" s="3" t="s">
        <v>96</v>
      </c>
      <c r="D370" s="3" t="s">
        <v>74</v>
      </c>
      <c r="E370" s="3" t="s">
        <v>14</v>
      </c>
      <c r="F370" s="3" t="s">
        <v>79</v>
      </c>
      <c r="G370" s="3">
        <v>0</v>
      </c>
      <c r="H370" s="3" t="s">
        <v>30</v>
      </c>
      <c r="I370" s="3" t="s">
        <v>63</v>
      </c>
      <c r="J370" s="3" t="s">
        <v>69</v>
      </c>
      <c r="K370" s="3" t="s">
        <v>28</v>
      </c>
      <c r="L370" s="4">
        <v>159</v>
      </c>
      <c r="M370" s="15" t="str">
        <f>TEXT(bd_Main[[#This Row],[Data]],"ddd")</f>
        <v>sáb</v>
      </c>
      <c r="N370" s="15" t="str">
        <f>TEXT(bd_Main[[#This Row],[Data]],"MMM")</f>
        <v>set</v>
      </c>
      <c r="O370" s="15" t="str">
        <f>TEXT(bd_Main[[#This Row],[Data]],"AAAA")</f>
        <v>2021</v>
      </c>
    </row>
    <row r="371" spans="1:15" x14ac:dyDescent="0.25">
      <c r="A371" s="7">
        <f t="shared" si="5"/>
        <v>370</v>
      </c>
      <c r="B371" s="2">
        <v>44454</v>
      </c>
      <c r="C371" s="3" t="s">
        <v>94</v>
      </c>
      <c r="D371" s="3" t="s">
        <v>74</v>
      </c>
      <c r="E371" s="3" t="s">
        <v>17</v>
      </c>
      <c r="F371" s="3" t="s">
        <v>83</v>
      </c>
      <c r="G371" s="3">
        <v>0</v>
      </c>
      <c r="H371" s="3" t="s">
        <v>32</v>
      </c>
      <c r="I371" s="3" t="s">
        <v>61</v>
      </c>
      <c r="J371" s="3" t="s">
        <v>71</v>
      </c>
      <c r="K371" s="3" t="s">
        <v>22</v>
      </c>
      <c r="L371" s="4">
        <v>0</v>
      </c>
      <c r="M371" s="15" t="str">
        <f>TEXT(bd_Main[[#This Row],[Data]],"ddd")</f>
        <v>qua</v>
      </c>
      <c r="N371" s="15" t="str">
        <f>TEXT(bd_Main[[#This Row],[Data]],"MMM")</f>
        <v>set</v>
      </c>
      <c r="O371" s="15" t="str">
        <f>TEXT(bd_Main[[#This Row],[Data]],"AAAA")</f>
        <v>2021</v>
      </c>
    </row>
    <row r="372" spans="1:15" x14ac:dyDescent="0.25">
      <c r="A372" s="7">
        <f t="shared" si="5"/>
        <v>371</v>
      </c>
      <c r="B372" s="2">
        <v>44456</v>
      </c>
      <c r="C372" s="3" t="s">
        <v>90</v>
      </c>
      <c r="D372" s="3" t="s">
        <v>74</v>
      </c>
      <c r="E372" s="3" t="s">
        <v>20</v>
      </c>
      <c r="F372" s="3" t="s">
        <v>86</v>
      </c>
      <c r="G372" s="3">
        <v>4</v>
      </c>
      <c r="H372" s="3" t="s">
        <v>18</v>
      </c>
      <c r="I372" s="3" t="s">
        <v>62</v>
      </c>
      <c r="J372" s="3" t="s">
        <v>71</v>
      </c>
      <c r="K372" s="3" t="s">
        <v>23</v>
      </c>
      <c r="L372" s="4">
        <v>4771</v>
      </c>
      <c r="M372" s="15" t="str">
        <f>TEXT(bd_Main[[#This Row],[Data]],"ddd")</f>
        <v>sex</v>
      </c>
      <c r="N372" s="15" t="str">
        <f>TEXT(bd_Main[[#This Row],[Data]],"MMM")</f>
        <v>set</v>
      </c>
      <c r="O372" s="15" t="str">
        <f>TEXT(bd_Main[[#This Row],[Data]],"AAAA")</f>
        <v>2021</v>
      </c>
    </row>
    <row r="373" spans="1:15" x14ac:dyDescent="0.25">
      <c r="A373" s="7">
        <f t="shared" si="5"/>
        <v>372</v>
      </c>
      <c r="B373" s="2">
        <v>44457</v>
      </c>
      <c r="C373" s="3" t="s">
        <v>96</v>
      </c>
      <c r="D373" s="3" t="s">
        <v>74</v>
      </c>
      <c r="E373" s="3" t="s">
        <v>17</v>
      </c>
      <c r="F373" s="3" t="s">
        <v>84</v>
      </c>
      <c r="G373" s="3">
        <v>3.5</v>
      </c>
      <c r="H373" s="3" t="s">
        <v>18</v>
      </c>
      <c r="I373" s="3" t="s">
        <v>62</v>
      </c>
      <c r="J373" s="3" t="s">
        <v>70</v>
      </c>
      <c r="K373" s="3" t="s">
        <v>27</v>
      </c>
      <c r="L373" s="4">
        <v>3378</v>
      </c>
      <c r="M373" s="15" t="str">
        <f>TEXT(bd_Main[[#This Row],[Data]],"ddd")</f>
        <v>sáb</v>
      </c>
      <c r="N373" s="15" t="str">
        <f>TEXT(bd_Main[[#This Row],[Data]],"MMM")</f>
        <v>set</v>
      </c>
      <c r="O373" s="15" t="str">
        <f>TEXT(bd_Main[[#This Row],[Data]],"AAAA")</f>
        <v>2021</v>
      </c>
    </row>
    <row r="374" spans="1:15" x14ac:dyDescent="0.25">
      <c r="A374" s="7">
        <f t="shared" si="5"/>
        <v>373</v>
      </c>
      <c r="B374" s="2">
        <v>44458</v>
      </c>
      <c r="C374" s="3" t="s">
        <v>94</v>
      </c>
      <c r="D374" s="3" t="s">
        <v>74</v>
      </c>
      <c r="E374" s="3" t="s">
        <v>17</v>
      </c>
      <c r="F374" s="3" t="s">
        <v>87</v>
      </c>
      <c r="G374" s="3">
        <v>0</v>
      </c>
      <c r="H374" s="3" t="s">
        <v>18</v>
      </c>
      <c r="I374" s="3" t="s">
        <v>64</v>
      </c>
      <c r="J374" s="3" t="s">
        <v>70</v>
      </c>
      <c r="K374" s="3" t="s">
        <v>27</v>
      </c>
      <c r="L374" s="4">
        <v>3713</v>
      </c>
      <c r="M374" s="15" t="str">
        <f>TEXT(bd_Main[[#This Row],[Data]],"ddd")</f>
        <v>dom</v>
      </c>
      <c r="N374" s="15" t="str">
        <f>TEXT(bd_Main[[#This Row],[Data]],"MMM")</f>
        <v>set</v>
      </c>
      <c r="O374" s="15" t="str">
        <f>TEXT(bd_Main[[#This Row],[Data]],"AAAA")</f>
        <v>2021</v>
      </c>
    </row>
    <row r="375" spans="1:15" x14ac:dyDescent="0.25">
      <c r="A375" s="7">
        <f t="shared" si="5"/>
        <v>374</v>
      </c>
      <c r="B375" s="2">
        <v>44459</v>
      </c>
      <c r="C375" s="3" t="s">
        <v>33</v>
      </c>
      <c r="D375" s="3" t="s">
        <v>74</v>
      </c>
      <c r="E375" s="3" t="s">
        <v>10</v>
      </c>
      <c r="F375" s="3" t="s">
        <v>80</v>
      </c>
      <c r="G375" s="3">
        <v>0</v>
      </c>
      <c r="H375" s="3" t="s">
        <v>25</v>
      </c>
      <c r="I375" s="3" t="s">
        <v>61</v>
      </c>
      <c r="J375" s="3" t="s">
        <v>71</v>
      </c>
      <c r="K375" s="3" t="s">
        <v>27</v>
      </c>
      <c r="L375" s="4">
        <v>0</v>
      </c>
      <c r="M375" s="15" t="str">
        <f>TEXT(bd_Main[[#This Row],[Data]],"ddd")</f>
        <v>seg</v>
      </c>
      <c r="N375" s="15" t="str">
        <f>TEXT(bd_Main[[#This Row],[Data]],"MMM")</f>
        <v>set</v>
      </c>
      <c r="O375" s="15" t="str">
        <f>TEXT(bd_Main[[#This Row],[Data]],"AAAA")</f>
        <v>2021</v>
      </c>
    </row>
    <row r="376" spans="1:15" x14ac:dyDescent="0.25">
      <c r="A376" s="7">
        <f t="shared" si="5"/>
        <v>375</v>
      </c>
      <c r="B376" s="2">
        <v>44463</v>
      </c>
      <c r="C376" s="3" t="s">
        <v>33</v>
      </c>
      <c r="D376" s="3" t="s">
        <v>74</v>
      </c>
      <c r="E376" s="3" t="s">
        <v>20</v>
      </c>
      <c r="F376" s="3" t="s">
        <v>85</v>
      </c>
      <c r="G376" s="3">
        <v>0</v>
      </c>
      <c r="H376" s="3" t="s">
        <v>29</v>
      </c>
      <c r="I376" s="3" t="s">
        <v>64</v>
      </c>
      <c r="J376" s="3" t="s">
        <v>70</v>
      </c>
      <c r="K376" s="3" t="s">
        <v>27</v>
      </c>
      <c r="L376" s="4">
        <v>4994</v>
      </c>
      <c r="M376" s="15" t="str">
        <f>TEXT(bd_Main[[#This Row],[Data]],"ddd")</f>
        <v>sex</v>
      </c>
      <c r="N376" s="15" t="str">
        <f>TEXT(bd_Main[[#This Row],[Data]],"MMM")</f>
        <v>set</v>
      </c>
      <c r="O376" s="15" t="str">
        <f>TEXT(bd_Main[[#This Row],[Data]],"AAAA")</f>
        <v>2021</v>
      </c>
    </row>
    <row r="377" spans="1:15" x14ac:dyDescent="0.25">
      <c r="A377" s="7">
        <f t="shared" si="5"/>
        <v>376</v>
      </c>
      <c r="B377" s="2">
        <v>44467</v>
      </c>
      <c r="C377" s="3" t="s">
        <v>95</v>
      </c>
      <c r="D377" s="3" t="s">
        <v>75</v>
      </c>
      <c r="E377" s="3" t="s">
        <v>20</v>
      </c>
      <c r="F377" s="3" t="s">
        <v>85</v>
      </c>
      <c r="G377" s="3">
        <v>0</v>
      </c>
      <c r="H377" s="3" t="s">
        <v>24</v>
      </c>
      <c r="I377" s="3" t="s">
        <v>63</v>
      </c>
      <c r="J377" s="3" t="s">
        <v>71</v>
      </c>
      <c r="K377" s="3" t="s">
        <v>23</v>
      </c>
      <c r="L377" s="4">
        <v>238</v>
      </c>
      <c r="M377" s="15" t="str">
        <f>TEXT(bd_Main[[#This Row],[Data]],"ddd")</f>
        <v>ter</v>
      </c>
      <c r="N377" s="15" t="str">
        <f>TEXT(bd_Main[[#This Row],[Data]],"MMM")</f>
        <v>set</v>
      </c>
      <c r="O377" s="15" t="str">
        <f>TEXT(bd_Main[[#This Row],[Data]],"AAAA")</f>
        <v>2021</v>
      </c>
    </row>
    <row r="378" spans="1:15" x14ac:dyDescent="0.25">
      <c r="A378" s="7">
        <f t="shared" si="5"/>
        <v>377</v>
      </c>
      <c r="B378" s="2">
        <v>44468</v>
      </c>
      <c r="C378" s="3" t="s">
        <v>90</v>
      </c>
      <c r="D378" s="3" t="s">
        <v>74</v>
      </c>
      <c r="E378" s="3" t="s">
        <v>14</v>
      </c>
      <c r="F378" s="3" t="s">
        <v>82</v>
      </c>
      <c r="G378" s="3">
        <v>0</v>
      </c>
      <c r="H378" s="3" t="s">
        <v>18</v>
      </c>
      <c r="I378" s="3" t="s">
        <v>63</v>
      </c>
      <c r="J378" s="3" t="s">
        <v>69</v>
      </c>
      <c r="K378" s="3" t="s">
        <v>23</v>
      </c>
      <c r="L378" s="4">
        <v>209</v>
      </c>
      <c r="M378" s="15" t="str">
        <f>TEXT(bd_Main[[#This Row],[Data]],"ddd")</f>
        <v>qua</v>
      </c>
      <c r="N378" s="15" t="str">
        <f>TEXT(bd_Main[[#This Row],[Data]],"MMM")</f>
        <v>set</v>
      </c>
      <c r="O378" s="15" t="str">
        <f>TEXT(bd_Main[[#This Row],[Data]],"AAAA")</f>
        <v>2021</v>
      </c>
    </row>
    <row r="379" spans="1:15" x14ac:dyDescent="0.25">
      <c r="A379" s="7">
        <f t="shared" si="5"/>
        <v>378</v>
      </c>
      <c r="B379" s="2">
        <v>44470</v>
      </c>
      <c r="C379" s="3" t="s">
        <v>96</v>
      </c>
      <c r="D379" s="3" t="s">
        <v>74</v>
      </c>
      <c r="E379" s="3" t="s">
        <v>10</v>
      </c>
      <c r="F379" s="3" t="s">
        <v>80</v>
      </c>
      <c r="G379" s="3">
        <v>0</v>
      </c>
      <c r="H379" s="3" t="s">
        <v>15</v>
      </c>
      <c r="I379" s="3" t="s">
        <v>64</v>
      </c>
      <c r="J379" s="3" t="s">
        <v>69</v>
      </c>
      <c r="K379" s="3" t="s">
        <v>12</v>
      </c>
      <c r="L379" s="4">
        <v>2120</v>
      </c>
      <c r="M379" s="15" t="str">
        <f>TEXT(bd_Main[[#This Row],[Data]],"ddd")</f>
        <v>sex</v>
      </c>
      <c r="N379" s="15" t="str">
        <f>TEXT(bd_Main[[#This Row],[Data]],"MMM")</f>
        <v>out</v>
      </c>
      <c r="O379" s="15" t="str">
        <f>TEXT(bd_Main[[#This Row],[Data]],"AAAA")</f>
        <v>2021</v>
      </c>
    </row>
    <row r="380" spans="1:15" x14ac:dyDescent="0.25">
      <c r="A380" s="7">
        <f t="shared" si="5"/>
        <v>379</v>
      </c>
      <c r="B380" s="2">
        <v>44470</v>
      </c>
      <c r="C380" s="3" t="s">
        <v>92</v>
      </c>
      <c r="D380" s="3" t="s">
        <v>75</v>
      </c>
      <c r="E380" s="3" t="s">
        <v>10</v>
      </c>
      <c r="F380" s="3" t="s">
        <v>82</v>
      </c>
      <c r="G380" s="3">
        <v>0</v>
      </c>
      <c r="H380" s="3" t="s">
        <v>30</v>
      </c>
      <c r="I380" s="3" t="s">
        <v>61</v>
      </c>
      <c r="J380" s="3" t="s">
        <v>69</v>
      </c>
      <c r="K380" s="3" t="s">
        <v>12</v>
      </c>
      <c r="L380" s="4">
        <v>0</v>
      </c>
      <c r="M380" s="15" t="str">
        <f>TEXT(bd_Main[[#This Row],[Data]],"ddd")</f>
        <v>sex</v>
      </c>
      <c r="N380" s="15" t="str">
        <f>TEXT(bd_Main[[#This Row],[Data]],"MMM")</f>
        <v>out</v>
      </c>
      <c r="O380" s="15" t="str">
        <f>TEXT(bd_Main[[#This Row],[Data]],"AAAA")</f>
        <v>2021</v>
      </c>
    </row>
    <row r="381" spans="1:15" x14ac:dyDescent="0.25">
      <c r="A381" s="7">
        <f t="shared" si="5"/>
        <v>380</v>
      </c>
      <c r="B381" s="2">
        <v>44474</v>
      </c>
      <c r="C381" s="3" t="s">
        <v>93</v>
      </c>
      <c r="D381" s="3" t="s">
        <v>74</v>
      </c>
      <c r="E381" s="3" t="s">
        <v>10</v>
      </c>
      <c r="F381" s="3" t="s">
        <v>82</v>
      </c>
      <c r="G381" s="3">
        <v>1</v>
      </c>
      <c r="H381" s="3" t="s">
        <v>25</v>
      </c>
      <c r="I381" s="3" t="s">
        <v>62</v>
      </c>
      <c r="J381" s="3" t="s">
        <v>70</v>
      </c>
      <c r="K381" s="3" t="s">
        <v>16</v>
      </c>
      <c r="L381" s="4">
        <v>2245</v>
      </c>
      <c r="M381" s="15" t="str">
        <f>TEXT(bd_Main[[#This Row],[Data]],"ddd")</f>
        <v>ter</v>
      </c>
      <c r="N381" s="15" t="str">
        <f>TEXT(bd_Main[[#This Row],[Data]],"MMM")</f>
        <v>out</v>
      </c>
      <c r="O381" s="15" t="str">
        <f>TEXT(bd_Main[[#This Row],[Data]],"AAAA")</f>
        <v>2021</v>
      </c>
    </row>
    <row r="382" spans="1:15" x14ac:dyDescent="0.25">
      <c r="A382" s="7">
        <f t="shared" si="5"/>
        <v>381</v>
      </c>
      <c r="B382" s="2">
        <v>44479</v>
      </c>
      <c r="C382" s="3" t="s">
        <v>94</v>
      </c>
      <c r="D382" s="3" t="s">
        <v>74</v>
      </c>
      <c r="E382" s="3" t="s">
        <v>17</v>
      </c>
      <c r="F382" s="3" t="s">
        <v>86</v>
      </c>
      <c r="G382" s="3">
        <v>0</v>
      </c>
      <c r="H382" s="3" t="s">
        <v>24</v>
      </c>
      <c r="I382" s="3" t="s">
        <v>63</v>
      </c>
      <c r="J382" s="3" t="s">
        <v>69</v>
      </c>
      <c r="K382" s="3" t="s">
        <v>23</v>
      </c>
      <c r="L382" s="4">
        <v>118</v>
      </c>
      <c r="M382" s="15" t="str">
        <f>TEXT(bd_Main[[#This Row],[Data]],"ddd")</f>
        <v>dom</v>
      </c>
      <c r="N382" s="15" t="str">
        <f>TEXT(bd_Main[[#This Row],[Data]],"MMM")</f>
        <v>out</v>
      </c>
      <c r="O382" s="15" t="str">
        <f>TEXT(bd_Main[[#This Row],[Data]],"AAAA")</f>
        <v>2021</v>
      </c>
    </row>
    <row r="383" spans="1:15" x14ac:dyDescent="0.25">
      <c r="A383" s="7">
        <f t="shared" si="5"/>
        <v>382</v>
      </c>
      <c r="B383" s="2">
        <v>44482</v>
      </c>
      <c r="C383" s="3" t="s">
        <v>93</v>
      </c>
      <c r="D383" s="3" t="s">
        <v>74</v>
      </c>
      <c r="E383" s="3" t="s">
        <v>17</v>
      </c>
      <c r="F383" s="3" t="s">
        <v>80</v>
      </c>
      <c r="G383" s="3">
        <v>0</v>
      </c>
      <c r="H383" s="3" t="s">
        <v>25</v>
      </c>
      <c r="I383" s="3" t="s">
        <v>64</v>
      </c>
      <c r="J383" s="3" t="s">
        <v>69</v>
      </c>
      <c r="K383" s="3" t="s">
        <v>31</v>
      </c>
      <c r="L383" s="4">
        <v>534</v>
      </c>
      <c r="M383" s="15" t="str">
        <f>TEXT(bd_Main[[#This Row],[Data]],"ddd")</f>
        <v>qua</v>
      </c>
      <c r="N383" s="15" t="str">
        <f>TEXT(bd_Main[[#This Row],[Data]],"MMM")</f>
        <v>out</v>
      </c>
      <c r="O383" s="15" t="str">
        <f>TEXT(bd_Main[[#This Row],[Data]],"AAAA")</f>
        <v>2021</v>
      </c>
    </row>
    <row r="384" spans="1:15" x14ac:dyDescent="0.25">
      <c r="A384" s="7">
        <f t="shared" si="5"/>
        <v>383</v>
      </c>
      <c r="B384" s="2">
        <v>44483</v>
      </c>
      <c r="C384" s="3" t="s">
        <v>95</v>
      </c>
      <c r="D384" s="3" t="s">
        <v>74</v>
      </c>
      <c r="E384" s="3" t="s">
        <v>14</v>
      </c>
      <c r="F384" s="3" t="s">
        <v>87</v>
      </c>
      <c r="G384" s="3">
        <v>0</v>
      </c>
      <c r="H384" s="3" t="s">
        <v>30</v>
      </c>
      <c r="I384" s="3" t="s">
        <v>61</v>
      </c>
      <c r="J384" s="3" t="s">
        <v>69</v>
      </c>
      <c r="K384" s="3" t="s">
        <v>31</v>
      </c>
      <c r="L384" s="4">
        <v>0</v>
      </c>
      <c r="M384" s="15" t="str">
        <f>TEXT(bd_Main[[#This Row],[Data]],"ddd")</f>
        <v>qui</v>
      </c>
      <c r="N384" s="15" t="str">
        <f>TEXT(bd_Main[[#This Row],[Data]],"MMM")</f>
        <v>out</v>
      </c>
      <c r="O384" s="15" t="str">
        <f>TEXT(bd_Main[[#This Row],[Data]],"AAAA")</f>
        <v>2021</v>
      </c>
    </row>
    <row r="385" spans="1:15" x14ac:dyDescent="0.25">
      <c r="A385" s="7">
        <f t="shared" si="5"/>
        <v>384</v>
      </c>
      <c r="B385" s="2">
        <v>44483</v>
      </c>
      <c r="C385" s="3" t="s">
        <v>92</v>
      </c>
      <c r="D385" s="3" t="s">
        <v>74</v>
      </c>
      <c r="E385" s="3" t="s">
        <v>10</v>
      </c>
      <c r="F385" s="3" t="s">
        <v>86</v>
      </c>
      <c r="G385" s="3">
        <v>0</v>
      </c>
      <c r="H385" s="3" t="s">
        <v>29</v>
      </c>
      <c r="I385" s="3" t="s">
        <v>63</v>
      </c>
      <c r="J385" s="3" t="s">
        <v>70</v>
      </c>
      <c r="K385" s="3" t="s">
        <v>31</v>
      </c>
      <c r="L385" s="4">
        <v>420</v>
      </c>
      <c r="M385" s="15" t="str">
        <f>TEXT(bd_Main[[#This Row],[Data]],"ddd")</f>
        <v>qui</v>
      </c>
      <c r="N385" s="15" t="str">
        <f>TEXT(bd_Main[[#This Row],[Data]],"MMM")</f>
        <v>out</v>
      </c>
      <c r="O385" s="15" t="str">
        <f>TEXT(bd_Main[[#This Row],[Data]],"AAAA")</f>
        <v>2021</v>
      </c>
    </row>
    <row r="386" spans="1:15" x14ac:dyDescent="0.25">
      <c r="A386" s="7">
        <f t="shared" ref="A386:A449" si="6">ROW(A386)-1</f>
        <v>385</v>
      </c>
      <c r="B386" s="2">
        <v>44484</v>
      </c>
      <c r="C386" s="3" t="s">
        <v>13</v>
      </c>
      <c r="D386" s="3" t="s">
        <v>75</v>
      </c>
      <c r="E386" s="3" t="s">
        <v>20</v>
      </c>
      <c r="F386" s="3" t="s">
        <v>83</v>
      </c>
      <c r="G386" s="3">
        <v>4</v>
      </c>
      <c r="H386" s="3" t="s">
        <v>29</v>
      </c>
      <c r="I386" s="3" t="s">
        <v>62</v>
      </c>
      <c r="J386" s="3" t="s">
        <v>69</v>
      </c>
      <c r="K386" s="3" t="s">
        <v>12</v>
      </c>
      <c r="L386" s="4">
        <v>2622</v>
      </c>
      <c r="M386" s="15" t="str">
        <f>TEXT(bd_Main[[#This Row],[Data]],"ddd")</f>
        <v>sex</v>
      </c>
      <c r="N386" s="15" t="str">
        <f>TEXT(bd_Main[[#This Row],[Data]],"MMM")</f>
        <v>out</v>
      </c>
      <c r="O386" s="15" t="str">
        <f>TEXT(bd_Main[[#This Row],[Data]],"AAAA")</f>
        <v>2021</v>
      </c>
    </row>
    <row r="387" spans="1:15" x14ac:dyDescent="0.25">
      <c r="A387" s="7">
        <f t="shared" si="6"/>
        <v>386</v>
      </c>
      <c r="B387" s="2">
        <v>44485</v>
      </c>
      <c r="C387" s="3" t="s">
        <v>96</v>
      </c>
      <c r="D387" s="3" t="s">
        <v>74</v>
      </c>
      <c r="E387" s="3" t="s">
        <v>14</v>
      </c>
      <c r="F387" s="3" t="s">
        <v>82</v>
      </c>
      <c r="G387" s="3">
        <v>3.5</v>
      </c>
      <c r="H387" s="3" t="s">
        <v>24</v>
      </c>
      <c r="I387" s="3" t="s">
        <v>62</v>
      </c>
      <c r="J387" s="3" t="s">
        <v>70</v>
      </c>
      <c r="K387" s="3" t="s">
        <v>31</v>
      </c>
      <c r="L387" s="4">
        <v>1213</v>
      </c>
      <c r="M387" s="15" t="str">
        <f>TEXT(bd_Main[[#This Row],[Data]],"ddd")</f>
        <v>sáb</v>
      </c>
      <c r="N387" s="15" t="str">
        <f>TEXT(bd_Main[[#This Row],[Data]],"MMM")</f>
        <v>out</v>
      </c>
      <c r="O387" s="15" t="str">
        <f>TEXT(bd_Main[[#This Row],[Data]],"AAAA")</f>
        <v>2021</v>
      </c>
    </row>
    <row r="388" spans="1:15" x14ac:dyDescent="0.25">
      <c r="A388" s="7">
        <f t="shared" si="6"/>
        <v>387</v>
      </c>
      <c r="B388" s="2">
        <v>44486</v>
      </c>
      <c r="C388" s="3" t="s">
        <v>90</v>
      </c>
      <c r="D388" s="3" t="s">
        <v>74</v>
      </c>
      <c r="E388" s="3" t="s">
        <v>14</v>
      </c>
      <c r="F388" s="3" t="s">
        <v>85</v>
      </c>
      <c r="G388" s="3">
        <v>0</v>
      </c>
      <c r="H388" s="3" t="s">
        <v>30</v>
      </c>
      <c r="I388" s="3" t="s">
        <v>61</v>
      </c>
      <c r="J388" s="3" t="s">
        <v>69</v>
      </c>
      <c r="K388" s="3" t="s">
        <v>22</v>
      </c>
      <c r="L388" s="4">
        <v>0</v>
      </c>
      <c r="M388" s="15" t="str">
        <f>TEXT(bd_Main[[#This Row],[Data]],"ddd")</f>
        <v>dom</v>
      </c>
      <c r="N388" s="15" t="str">
        <f>TEXT(bd_Main[[#This Row],[Data]],"MMM")</f>
        <v>out</v>
      </c>
      <c r="O388" s="15" t="str">
        <f>TEXT(bd_Main[[#This Row],[Data]],"AAAA")</f>
        <v>2021</v>
      </c>
    </row>
    <row r="389" spans="1:15" x14ac:dyDescent="0.25">
      <c r="A389" s="7">
        <f t="shared" si="6"/>
        <v>388</v>
      </c>
      <c r="B389" s="2">
        <v>44488</v>
      </c>
      <c r="C389" s="3" t="s">
        <v>90</v>
      </c>
      <c r="D389" s="3" t="s">
        <v>74</v>
      </c>
      <c r="E389" s="3" t="s">
        <v>10</v>
      </c>
      <c r="F389" s="3" t="s">
        <v>81</v>
      </c>
      <c r="G389" s="3">
        <v>0</v>
      </c>
      <c r="H389" s="3" t="s">
        <v>30</v>
      </c>
      <c r="I389" s="3" t="s">
        <v>63</v>
      </c>
      <c r="J389" s="3" t="s">
        <v>70</v>
      </c>
      <c r="K389" s="3" t="s">
        <v>22</v>
      </c>
      <c r="L389" s="4">
        <v>65</v>
      </c>
      <c r="M389" s="15" t="str">
        <f>TEXT(bd_Main[[#This Row],[Data]],"ddd")</f>
        <v>ter</v>
      </c>
      <c r="N389" s="15" t="str">
        <f>TEXT(bd_Main[[#This Row],[Data]],"MMM")</f>
        <v>out</v>
      </c>
      <c r="O389" s="15" t="str">
        <f>TEXT(bd_Main[[#This Row],[Data]],"AAAA")</f>
        <v>2021</v>
      </c>
    </row>
    <row r="390" spans="1:15" x14ac:dyDescent="0.25">
      <c r="A390" s="7">
        <f t="shared" si="6"/>
        <v>389</v>
      </c>
      <c r="B390" s="2">
        <v>44488</v>
      </c>
      <c r="C390" s="3" t="s">
        <v>90</v>
      </c>
      <c r="D390" s="3" t="s">
        <v>74</v>
      </c>
      <c r="E390" s="3" t="s">
        <v>14</v>
      </c>
      <c r="F390" s="3" t="s">
        <v>85</v>
      </c>
      <c r="G390" s="3">
        <v>0</v>
      </c>
      <c r="H390" s="3" t="s">
        <v>30</v>
      </c>
      <c r="I390" s="3" t="s">
        <v>64</v>
      </c>
      <c r="J390" s="3" t="s">
        <v>71</v>
      </c>
      <c r="K390" s="3" t="s">
        <v>27</v>
      </c>
      <c r="L390" s="4">
        <v>2860</v>
      </c>
      <c r="M390" s="15" t="str">
        <f>TEXT(bd_Main[[#This Row],[Data]],"ddd")</f>
        <v>ter</v>
      </c>
      <c r="N390" s="15" t="str">
        <f>TEXT(bd_Main[[#This Row],[Data]],"MMM")</f>
        <v>out</v>
      </c>
      <c r="O390" s="15" t="str">
        <f>TEXT(bd_Main[[#This Row],[Data]],"AAAA")</f>
        <v>2021</v>
      </c>
    </row>
    <row r="391" spans="1:15" x14ac:dyDescent="0.25">
      <c r="A391" s="7">
        <f t="shared" si="6"/>
        <v>390</v>
      </c>
      <c r="B391" s="2">
        <v>44492</v>
      </c>
      <c r="C391" s="3" t="s">
        <v>91</v>
      </c>
      <c r="D391" s="3" t="s">
        <v>74</v>
      </c>
      <c r="E391" s="3" t="s">
        <v>10</v>
      </c>
      <c r="F391" s="3" t="s">
        <v>87</v>
      </c>
      <c r="G391" s="3">
        <v>0</v>
      </c>
      <c r="H391" s="3" t="s">
        <v>11</v>
      </c>
      <c r="I391" s="3" t="s">
        <v>63</v>
      </c>
      <c r="J391" s="3" t="s">
        <v>70</v>
      </c>
      <c r="K391" s="3" t="s">
        <v>27</v>
      </c>
      <c r="L391" s="4">
        <v>129</v>
      </c>
      <c r="M391" s="15" t="str">
        <f>TEXT(bd_Main[[#This Row],[Data]],"ddd")</f>
        <v>sáb</v>
      </c>
      <c r="N391" s="15" t="str">
        <f>TEXT(bd_Main[[#This Row],[Data]],"MMM")</f>
        <v>out</v>
      </c>
      <c r="O391" s="15" t="str">
        <f>TEXT(bd_Main[[#This Row],[Data]],"AAAA")</f>
        <v>2021</v>
      </c>
    </row>
    <row r="392" spans="1:15" x14ac:dyDescent="0.25">
      <c r="A392" s="7">
        <f t="shared" si="6"/>
        <v>391</v>
      </c>
      <c r="B392" s="2">
        <v>44492</v>
      </c>
      <c r="C392" s="3" t="s">
        <v>93</v>
      </c>
      <c r="D392" s="3" t="s">
        <v>74</v>
      </c>
      <c r="E392" s="3" t="s">
        <v>17</v>
      </c>
      <c r="F392" s="3" t="s">
        <v>87</v>
      </c>
      <c r="G392" s="3">
        <v>0</v>
      </c>
      <c r="H392" s="3" t="s">
        <v>29</v>
      </c>
      <c r="I392" s="3" t="s">
        <v>64</v>
      </c>
      <c r="J392" s="3" t="s">
        <v>70</v>
      </c>
      <c r="K392" s="3" t="s">
        <v>28</v>
      </c>
      <c r="L392" s="4">
        <v>4698</v>
      </c>
      <c r="M392" s="15" t="str">
        <f>TEXT(bd_Main[[#This Row],[Data]],"ddd")</f>
        <v>sáb</v>
      </c>
      <c r="N392" s="15" t="str">
        <f>TEXT(bd_Main[[#This Row],[Data]],"MMM")</f>
        <v>out</v>
      </c>
      <c r="O392" s="15" t="str">
        <f>TEXT(bd_Main[[#This Row],[Data]],"AAAA")</f>
        <v>2021</v>
      </c>
    </row>
    <row r="393" spans="1:15" x14ac:dyDescent="0.25">
      <c r="A393" s="7">
        <f t="shared" si="6"/>
        <v>392</v>
      </c>
      <c r="B393" s="2">
        <v>44495</v>
      </c>
      <c r="C393" s="3" t="s">
        <v>92</v>
      </c>
      <c r="D393" s="3" t="s">
        <v>74</v>
      </c>
      <c r="E393" s="3" t="s">
        <v>14</v>
      </c>
      <c r="F393" s="3" t="s">
        <v>81</v>
      </c>
      <c r="G393" s="3">
        <v>0</v>
      </c>
      <c r="H393" s="3" t="s">
        <v>24</v>
      </c>
      <c r="I393" s="3" t="s">
        <v>61</v>
      </c>
      <c r="J393" s="3" t="s">
        <v>70</v>
      </c>
      <c r="K393" s="3" t="s">
        <v>27</v>
      </c>
      <c r="L393" s="4">
        <v>0</v>
      </c>
      <c r="M393" s="15" t="str">
        <f>TEXT(bd_Main[[#This Row],[Data]],"ddd")</f>
        <v>ter</v>
      </c>
      <c r="N393" s="15" t="str">
        <f>TEXT(bd_Main[[#This Row],[Data]],"MMM")</f>
        <v>out</v>
      </c>
      <c r="O393" s="15" t="str">
        <f>TEXT(bd_Main[[#This Row],[Data]],"AAAA")</f>
        <v>2021</v>
      </c>
    </row>
    <row r="394" spans="1:15" x14ac:dyDescent="0.25">
      <c r="A394" s="7">
        <f t="shared" si="6"/>
        <v>393</v>
      </c>
      <c r="B394" s="2">
        <v>44497</v>
      </c>
      <c r="C394" s="3" t="s">
        <v>96</v>
      </c>
      <c r="D394" s="3" t="s">
        <v>74</v>
      </c>
      <c r="E394" s="3" t="s">
        <v>14</v>
      </c>
      <c r="F394" s="3" t="s">
        <v>87</v>
      </c>
      <c r="G394" s="3">
        <v>0</v>
      </c>
      <c r="H394" s="3" t="s">
        <v>32</v>
      </c>
      <c r="I394" s="3" t="s">
        <v>63</v>
      </c>
      <c r="J394" s="3" t="s">
        <v>70</v>
      </c>
      <c r="K394" s="3" t="s">
        <v>22</v>
      </c>
      <c r="L394" s="4">
        <v>36</v>
      </c>
      <c r="M394" s="15" t="str">
        <f>TEXT(bd_Main[[#This Row],[Data]],"ddd")</f>
        <v>qui</v>
      </c>
      <c r="N394" s="15" t="str">
        <f>TEXT(bd_Main[[#This Row],[Data]],"MMM")</f>
        <v>out</v>
      </c>
      <c r="O394" s="15" t="str">
        <f>TEXT(bd_Main[[#This Row],[Data]],"AAAA")</f>
        <v>2021</v>
      </c>
    </row>
    <row r="395" spans="1:15" x14ac:dyDescent="0.25">
      <c r="A395" s="7">
        <f t="shared" si="6"/>
        <v>394</v>
      </c>
      <c r="B395" s="2">
        <v>44499</v>
      </c>
      <c r="C395" s="3" t="s">
        <v>94</v>
      </c>
      <c r="D395" s="3" t="s">
        <v>74</v>
      </c>
      <c r="E395" s="3" t="s">
        <v>20</v>
      </c>
      <c r="F395" s="3" t="s">
        <v>85</v>
      </c>
      <c r="G395" s="3">
        <v>0</v>
      </c>
      <c r="H395" s="3" t="s">
        <v>32</v>
      </c>
      <c r="I395" s="3" t="s">
        <v>61</v>
      </c>
      <c r="J395" s="3" t="s">
        <v>70</v>
      </c>
      <c r="K395" s="3" t="s">
        <v>27</v>
      </c>
      <c r="L395" s="4">
        <v>0</v>
      </c>
      <c r="M395" s="15" t="str">
        <f>TEXT(bd_Main[[#This Row],[Data]],"ddd")</f>
        <v>sáb</v>
      </c>
      <c r="N395" s="15" t="str">
        <f>TEXT(bd_Main[[#This Row],[Data]],"MMM")</f>
        <v>out</v>
      </c>
      <c r="O395" s="15" t="str">
        <f>TEXT(bd_Main[[#This Row],[Data]],"AAAA")</f>
        <v>2021</v>
      </c>
    </row>
    <row r="396" spans="1:15" x14ac:dyDescent="0.25">
      <c r="A396" s="7">
        <f t="shared" si="6"/>
        <v>395</v>
      </c>
      <c r="B396" s="2">
        <v>44502</v>
      </c>
      <c r="C396" s="3" t="s">
        <v>33</v>
      </c>
      <c r="D396" s="3" t="s">
        <v>74</v>
      </c>
      <c r="E396" s="3" t="s">
        <v>20</v>
      </c>
      <c r="F396" s="3" t="s">
        <v>85</v>
      </c>
      <c r="G396" s="3">
        <v>0</v>
      </c>
      <c r="H396" s="3" t="s">
        <v>25</v>
      </c>
      <c r="I396" s="3" t="s">
        <v>61</v>
      </c>
      <c r="J396" s="3" t="s">
        <v>70</v>
      </c>
      <c r="K396" s="3" t="s">
        <v>27</v>
      </c>
      <c r="L396" s="4">
        <v>0</v>
      </c>
      <c r="M396" s="15" t="str">
        <f>TEXT(bd_Main[[#This Row],[Data]],"ddd")</f>
        <v>ter</v>
      </c>
      <c r="N396" s="15" t="str">
        <f>TEXT(bd_Main[[#This Row],[Data]],"MMM")</f>
        <v>nov</v>
      </c>
      <c r="O396" s="15" t="str">
        <f>TEXT(bd_Main[[#This Row],[Data]],"AAAA")</f>
        <v>2021</v>
      </c>
    </row>
    <row r="397" spans="1:15" x14ac:dyDescent="0.25">
      <c r="A397" s="7">
        <f t="shared" si="6"/>
        <v>396</v>
      </c>
      <c r="B397" s="2">
        <v>44506</v>
      </c>
      <c r="C397" s="3" t="s">
        <v>91</v>
      </c>
      <c r="D397" s="3" t="s">
        <v>74</v>
      </c>
      <c r="E397" s="3" t="s">
        <v>20</v>
      </c>
      <c r="F397" s="3" t="s">
        <v>85</v>
      </c>
      <c r="G397" s="3">
        <v>0</v>
      </c>
      <c r="H397" s="3" t="s">
        <v>24</v>
      </c>
      <c r="I397" s="3" t="s">
        <v>64</v>
      </c>
      <c r="J397" s="3" t="s">
        <v>71</v>
      </c>
      <c r="K397" s="3" t="s">
        <v>27</v>
      </c>
      <c r="L397" s="4">
        <v>1585</v>
      </c>
      <c r="M397" s="15" t="str">
        <f>TEXT(bd_Main[[#This Row],[Data]],"ddd")</f>
        <v>sáb</v>
      </c>
      <c r="N397" s="15" t="str">
        <f>TEXT(bd_Main[[#This Row],[Data]],"MMM")</f>
        <v>nov</v>
      </c>
      <c r="O397" s="15" t="str">
        <f>TEXT(bd_Main[[#This Row],[Data]],"AAAA")</f>
        <v>2021</v>
      </c>
    </row>
    <row r="398" spans="1:15" x14ac:dyDescent="0.25">
      <c r="A398" s="7">
        <f t="shared" si="6"/>
        <v>397</v>
      </c>
      <c r="B398" s="2">
        <v>44509</v>
      </c>
      <c r="C398" s="3" t="s">
        <v>95</v>
      </c>
      <c r="D398" s="3" t="s">
        <v>74</v>
      </c>
      <c r="E398" s="3" t="s">
        <v>14</v>
      </c>
      <c r="F398" s="3" t="s">
        <v>84</v>
      </c>
      <c r="G398" s="3">
        <v>3</v>
      </c>
      <c r="H398" s="3" t="s">
        <v>11</v>
      </c>
      <c r="I398" s="3" t="s">
        <v>62</v>
      </c>
      <c r="J398" s="3" t="s">
        <v>71</v>
      </c>
      <c r="K398" s="3" t="s">
        <v>31</v>
      </c>
      <c r="L398" s="4">
        <v>2015</v>
      </c>
      <c r="M398" s="15" t="str">
        <f>TEXT(bd_Main[[#This Row],[Data]],"ddd")</f>
        <v>ter</v>
      </c>
      <c r="N398" s="15" t="str">
        <f>TEXT(bd_Main[[#This Row],[Data]],"MMM")</f>
        <v>nov</v>
      </c>
      <c r="O398" s="15" t="str">
        <f>TEXT(bd_Main[[#This Row],[Data]],"AAAA")</f>
        <v>2021</v>
      </c>
    </row>
    <row r="399" spans="1:15" x14ac:dyDescent="0.25">
      <c r="A399" s="7">
        <f t="shared" si="6"/>
        <v>398</v>
      </c>
      <c r="B399" s="2">
        <v>44510</v>
      </c>
      <c r="C399" s="3" t="s">
        <v>93</v>
      </c>
      <c r="D399" s="3" t="s">
        <v>74</v>
      </c>
      <c r="E399" s="3" t="s">
        <v>20</v>
      </c>
      <c r="F399" s="3" t="s">
        <v>83</v>
      </c>
      <c r="G399" s="3">
        <v>4</v>
      </c>
      <c r="H399" s="3" t="s">
        <v>24</v>
      </c>
      <c r="I399" s="3" t="s">
        <v>62</v>
      </c>
      <c r="J399" s="3" t="s">
        <v>70</v>
      </c>
      <c r="K399" s="3" t="s">
        <v>19</v>
      </c>
      <c r="L399" s="4">
        <v>1793</v>
      </c>
      <c r="M399" s="15" t="str">
        <f>TEXT(bd_Main[[#This Row],[Data]],"ddd")</f>
        <v>qua</v>
      </c>
      <c r="N399" s="15" t="str">
        <f>TEXT(bd_Main[[#This Row],[Data]],"MMM")</f>
        <v>nov</v>
      </c>
      <c r="O399" s="15" t="str">
        <f>TEXT(bd_Main[[#This Row],[Data]],"AAAA")</f>
        <v>2021</v>
      </c>
    </row>
    <row r="400" spans="1:15" x14ac:dyDescent="0.25">
      <c r="A400" s="7">
        <f t="shared" si="6"/>
        <v>399</v>
      </c>
      <c r="B400" s="2">
        <v>44512</v>
      </c>
      <c r="C400" s="3" t="s">
        <v>94</v>
      </c>
      <c r="D400" s="3" t="s">
        <v>74</v>
      </c>
      <c r="E400" s="3" t="s">
        <v>17</v>
      </c>
      <c r="F400" s="3" t="s">
        <v>82</v>
      </c>
      <c r="G400" s="3">
        <v>2.5</v>
      </c>
      <c r="H400" s="3" t="s">
        <v>32</v>
      </c>
      <c r="I400" s="3" t="s">
        <v>62</v>
      </c>
      <c r="J400" s="3" t="s">
        <v>69</v>
      </c>
      <c r="K400" s="3" t="s">
        <v>31</v>
      </c>
      <c r="L400" s="4">
        <v>807</v>
      </c>
      <c r="M400" s="15" t="str">
        <f>TEXT(bd_Main[[#This Row],[Data]],"ddd")</f>
        <v>sex</v>
      </c>
      <c r="N400" s="15" t="str">
        <f>TEXT(bd_Main[[#This Row],[Data]],"MMM")</f>
        <v>nov</v>
      </c>
      <c r="O400" s="15" t="str">
        <f>TEXT(bd_Main[[#This Row],[Data]],"AAAA")</f>
        <v>2021</v>
      </c>
    </row>
    <row r="401" spans="1:15" x14ac:dyDescent="0.25">
      <c r="A401" s="7">
        <f t="shared" si="6"/>
        <v>400</v>
      </c>
      <c r="B401" s="2">
        <v>44514</v>
      </c>
      <c r="C401" s="3" t="s">
        <v>95</v>
      </c>
      <c r="D401" s="3" t="s">
        <v>75</v>
      </c>
      <c r="E401" s="3" t="s">
        <v>14</v>
      </c>
      <c r="F401" s="3" t="s">
        <v>85</v>
      </c>
      <c r="G401" s="3">
        <v>0.5</v>
      </c>
      <c r="H401" s="3" t="s">
        <v>24</v>
      </c>
      <c r="I401" s="3" t="s">
        <v>62</v>
      </c>
      <c r="J401" s="3" t="s">
        <v>69</v>
      </c>
      <c r="K401" s="3" t="s">
        <v>12</v>
      </c>
      <c r="L401" s="4">
        <v>920</v>
      </c>
      <c r="M401" s="15" t="str">
        <f>TEXT(bd_Main[[#This Row],[Data]],"ddd")</f>
        <v>dom</v>
      </c>
      <c r="N401" s="15" t="str">
        <f>TEXT(bd_Main[[#This Row],[Data]],"MMM")</f>
        <v>nov</v>
      </c>
      <c r="O401" s="15" t="str">
        <f>TEXT(bd_Main[[#This Row],[Data]],"AAAA")</f>
        <v>2021</v>
      </c>
    </row>
    <row r="402" spans="1:15" x14ac:dyDescent="0.25">
      <c r="A402" s="7">
        <f t="shared" si="6"/>
        <v>401</v>
      </c>
      <c r="B402" s="2">
        <v>44515</v>
      </c>
      <c r="C402" s="3" t="s">
        <v>96</v>
      </c>
      <c r="D402" s="3" t="s">
        <v>74</v>
      </c>
      <c r="E402" s="3" t="s">
        <v>10</v>
      </c>
      <c r="F402" s="3" t="s">
        <v>84</v>
      </c>
      <c r="G402" s="3">
        <v>0</v>
      </c>
      <c r="H402" s="3" t="s">
        <v>25</v>
      </c>
      <c r="I402" s="3" t="s">
        <v>63</v>
      </c>
      <c r="J402" s="3" t="s">
        <v>70</v>
      </c>
      <c r="K402" s="3" t="s">
        <v>26</v>
      </c>
      <c r="L402" s="4">
        <v>37</v>
      </c>
      <c r="M402" s="15" t="str">
        <f>TEXT(bd_Main[[#This Row],[Data]],"ddd")</f>
        <v>seg</v>
      </c>
      <c r="N402" s="15" t="str">
        <f>TEXT(bd_Main[[#This Row],[Data]],"MMM")</f>
        <v>nov</v>
      </c>
      <c r="O402" s="15" t="str">
        <f>TEXT(bd_Main[[#This Row],[Data]],"AAAA")</f>
        <v>2021</v>
      </c>
    </row>
    <row r="403" spans="1:15" x14ac:dyDescent="0.25">
      <c r="A403" s="7">
        <f t="shared" si="6"/>
        <v>402</v>
      </c>
      <c r="B403" s="2">
        <v>44515</v>
      </c>
      <c r="C403" s="3" t="s">
        <v>95</v>
      </c>
      <c r="D403" s="3" t="s">
        <v>74</v>
      </c>
      <c r="E403" s="3" t="s">
        <v>20</v>
      </c>
      <c r="F403" s="3" t="s">
        <v>84</v>
      </c>
      <c r="G403" s="3">
        <v>0</v>
      </c>
      <c r="H403" s="3" t="s">
        <v>18</v>
      </c>
      <c r="I403" s="3" t="s">
        <v>64</v>
      </c>
      <c r="J403" s="3" t="s">
        <v>71</v>
      </c>
      <c r="K403" s="3" t="s">
        <v>12</v>
      </c>
      <c r="L403" s="4">
        <v>4791</v>
      </c>
      <c r="M403" s="15" t="str">
        <f>TEXT(bd_Main[[#This Row],[Data]],"ddd")</f>
        <v>seg</v>
      </c>
      <c r="N403" s="15" t="str">
        <f>TEXT(bd_Main[[#This Row],[Data]],"MMM")</f>
        <v>nov</v>
      </c>
      <c r="O403" s="15" t="str">
        <f>TEXT(bd_Main[[#This Row],[Data]],"AAAA")</f>
        <v>2021</v>
      </c>
    </row>
    <row r="404" spans="1:15" x14ac:dyDescent="0.25">
      <c r="A404" s="7">
        <f t="shared" si="6"/>
        <v>403</v>
      </c>
      <c r="B404" s="2">
        <v>44516</v>
      </c>
      <c r="C404" s="3" t="s">
        <v>95</v>
      </c>
      <c r="D404" s="3" t="s">
        <v>74</v>
      </c>
      <c r="E404" s="3" t="s">
        <v>10</v>
      </c>
      <c r="F404" s="3" t="s">
        <v>86</v>
      </c>
      <c r="G404" s="3">
        <v>0</v>
      </c>
      <c r="H404" s="3" t="s">
        <v>11</v>
      </c>
      <c r="I404" s="3" t="s">
        <v>64</v>
      </c>
      <c r="J404" s="3" t="s">
        <v>70</v>
      </c>
      <c r="K404" s="3" t="s">
        <v>31</v>
      </c>
      <c r="L404" s="4">
        <v>2124</v>
      </c>
      <c r="M404" s="15" t="str">
        <f>TEXT(bd_Main[[#This Row],[Data]],"ddd")</f>
        <v>ter</v>
      </c>
      <c r="N404" s="15" t="str">
        <f>TEXT(bd_Main[[#This Row],[Data]],"MMM")</f>
        <v>nov</v>
      </c>
      <c r="O404" s="15" t="str">
        <f>TEXT(bd_Main[[#This Row],[Data]],"AAAA")</f>
        <v>2021</v>
      </c>
    </row>
    <row r="405" spans="1:15" x14ac:dyDescent="0.25">
      <c r="A405" s="7">
        <f t="shared" si="6"/>
        <v>404</v>
      </c>
      <c r="B405" s="2">
        <v>44517</v>
      </c>
      <c r="C405" s="3" t="s">
        <v>96</v>
      </c>
      <c r="D405" s="3" t="s">
        <v>75</v>
      </c>
      <c r="E405" s="3" t="s">
        <v>14</v>
      </c>
      <c r="F405" s="3" t="s">
        <v>81</v>
      </c>
      <c r="G405" s="3">
        <v>0</v>
      </c>
      <c r="H405" s="3" t="s">
        <v>21</v>
      </c>
      <c r="I405" s="3" t="s">
        <v>61</v>
      </c>
      <c r="J405" s="3" t="s">
        <v>69</v>
      </c>
      <c r="K405" s="3" t="s">
        <v>23</v>
      </c>
      <c r="L405" s="4">
        <v>0</v>
      </c>
      <c r="M405" s="15" t="str">
        <f>TEXT(bd_Main[[#This Row],[Data]],"ddd")</f>
        <v>qua</v>
      </c>
      <c r="N405" s="15" t="str">
        <f>TEXT(bd_Main[[#This Row],[Data]],"MMM")</f>
        <v>nov</v>
      </c>
      <c r="O405" s="15" t="str">
        <f>TEXT(bd_Main[[#This Row],[Data]],"AAAA")</f>
        <v>2021</v>
      </c>
    </row>
    <row r="406" spans="1:15" x14ac:dyDescent="0.25">
      <c r="A406" s="7">
        <f t="shared" si="6"/>
        <v>405</v>
      </c>
      <c r="B406" s="2">
        <v>44521</v>
      </c>
      <c r="C406" s="3" t="s">
        <v>93</v>
      </c>
      <c r="D406" s="3" t="s">
        <v>74</v>
      </c>
      <c r="E406" s="3" t="s">
        <v>10</v>
      </c>
      <c r="F406" s="3" t="s">
        <v>84</v>
      </c>
      <c r="G406" s="3">
        <v>0</v>
      </c>
      <c r="H406" s="3" t="s">
        <v>15</v>
      </c>
      <c r="I406" s="3" t="s">
        <v>64</v>
      </c>
      <c r="J406" s="3" t="s">
        <v>70</v>
      </c>
      <c r="K406" s="3" t="s">
        <v>16</v>
      </c>
      <c r="L406" s="4">
        <v>1636</v>
      </c>
      <c r="M406" s="15" t="str">
        <f>TEXT(bd_Main[[#This Row],[Data]],"ddd")</f>
        <v>dom</v>
      </c>
      <c r="N406" s="15" t="str">
        <f>TEXT(bd_Main[[#This Row],[Data]],"MMM")</f>
        <v>nov</v>
      </c>
      <c r="O406" s="15" t="str">
        <f>TEXT(bd_Main[[#This Row],[Data]],"AAAA")</f>
        <v>2021</v>
      </c>
    </row>
    <row r="407" spans="1:15" x14ac:dyDescent="0.25">
      <c r="A407" s="7">
        <f t="shared" si="6"/>
        <v>406</v>
      </c>
      <c r="B407" s="2">
        <v>44522</v>
      </c>
      <c r="C407" s="3" t="s">
        <v>13</v>
      </c>
      <c r="D407" s="3" t="s">
        <v>74</v>
      </c>
      <c r="E407" s="3" t="s">
        <v>10</v>
      </c>
      <c r="F407" s="3" t="s">
        <v>82</v>
      </c>
      <c r="G407" s="3">
        <v>0</v>
      </c>
      <c r="H407" s="3" t="s">
        <v>18</v>
      </c>
      <c r="I407" s="3" t="s">
        <v>64</v>
      </c>
      <c r="J407" s="3" t="s">
        <v>71</v>
      </c>
      <c r="K407" s="3" t="s">
        <v>26</v>
      </c>
      <c r="L407" s="4">
        <v>4069</v>
      </c>
      <c r="M407" s="15" t="str">
        <f>TEXT(bd_Main[[#This Row],[Data]],"ddd")</f>
        <v>seg</v>
      </c>
      <c r="N407" s="15" t="str">
        <f>TEXT(bd_Main[[#This Row],[Data]],"MMM")</f>
        <v>nov</v>
      </c>
      <c r="O407" s="15" t="str">
        <f>TEXT(bd_Main[[#This Row],[Data]],"AAAA")</f>
        <v>2021</v>
      </c>
    </row>
    <row r="408" spans="1:15" x14ac:dyDescent="0.25">
      <c r="A408" s="7">
        <f t="shared" si="6"/>
        <v>407</v>
      </c>
      <c r="B408" s="2">
        <v>44523</v>
      </c>
      <c r="C408" s="3" t="s">
        <v>96</v>
      </c>
      <c r="D408" s="3" t="s">
        <v>74</v>
      </c>
      <c r="E408" s="3" t="s">
        <v>14</v>
      </c>
      <c r="F408" s="3" t="s">
        <v>87</v>
      </c>
      <c r="G408" s="3">
        <v>0</v>
      </c>
      <c r="H408" s="3" t="s">
        <v>21</v>
      </c>
      <c r="I408" s="3" t="s">
        <v>63</v>
      </c>
      <c r="J408" s="3" t="s">
        <v>69</v>
      </c>
      <c r="K408" s="3" t="s">
        <v>27</v>
      </c>
      <c r="L408" s="4">
        <v>493</v>
      </c>
      <c r="M408" s="15" t="str">
        <f>TEXT(bd_Main[[#This Row],[Data]],"ddd")</f>
        <v>ter</v>
      </c>
      <c r="N408" s="15" t="str">
        <f>TEXT(bd_Main[[#This Row],[Data]],"MMM")</f>
        <v>nov</v>
      </c>
      <c r="O408" s="15" t="str">
        <f>TEXT(bd_Main[[#This Row],[Data]],"AAAA")</f>
        <v>2021</v>
      </c>
    </row>
    <row r="409" spans="1:15" x14ac:dyDescent="0.25">
      <c r="A409" s="7">
        <f t="shared" si="6"/>
        <v>408</v>
      </c>
      <c r="B409" s="2">
        <v>44524</v>
      </c>
      <c r="C409" s="3" t="s">
        <v>92</v>
      </c>
      <c r="D409" s="3" t="s">
        <v>74</v>
      </c>
      <c r="E409" s="3" t="s">
        <v>17</v>
      </c>
      <c r="F409" s="3" t="s">
        <v>80</v>
      </c>
      <c r="G409" s="3">
        <v>0</v>
      </c>
      <c r="H409" s="3" t="s">
        <v>15</v>
      </c>
      <c r="I409" s="3" t="s">
        <v>64</v>
      </c>
      <c r="J409" s="3" t="s">
        <v>71</v>
      </c>
      <c r="K409" s="3" t="s">
        <v>28</v>
      </c>
      <c r="L409" s="4">
        <v>1493</v>
      </c>
      <c r="M409" s="15" t="str">
        <f>TEXT(bd_Main[[#This Row],[Data]],"ddd")</f>
        <v>qua</v>
      </c>
      <c r="N409" s="15" t="str">
        <f>TEXT(bd_Main[[#This Row],[Data]],"MMM")</f>
        <v>nov</v>
      </c>
      <c r="O409" s="15" t="str">
        <f>TEXT(bd_Main[[#This Row],[Data]],"AAAA")</f>
        <v>2021</v>
      </c>
    </row>
    <row r="410" spans="1:15" x14ac:dyDescent="0.25">
      <c r="A410" s="7">
        <f t="shared" si="6"/>
        <v>409</v>
      </c>
      <c r="B410" s="2">
        <v>44526</v>
      </c>
      <c r="C410" s="3" t="s">
        <v>95</v>
      </c>
      <c r="D410" s="3" t="s">
        <v>74</v>
      </c>
      <c r="E410" s="3" t="s">
        <v>17</v>
      </c>
      <c r="F410" s="3" t="s">
        <v>85</v>
      </c>
      <c r="G410" s="3">
        <v>0</v>
      </c>
      <c r="H410" s="3" t="s">
        <v>21</v>
      </c>
      <c r="I410" s="3" t="s">
        <v>61</v>
      </c>
      <c r="J410" s="3" t="s">
        <v>71</v>
      </c>
      <c r="K410" s="3" t="s">
        <v>27</v>
      </c>
      <c r="L410" s="4">
        <v>0</v>
      </c>
      <c r="M410" s="15" t="str">
        <f>TEXT(bd_Main[[#This Row],[Data]],"ddd")</f>
        <v>sex</v>
      </c>
      <c r="N410" s="15" t="str">
        <f>TEXT(bd_Main[[#This Row],[Data]],"MMM")</f>
        <v>nov</v>
      </c>
      <c r="O410" s="15" t="str">
        <f>TEXT(bd_Main[[#This Row],[Data]],"AAAA")</f>
        <v>2021</v>
      </c>
    </row>
    <row r="411" spans="1:15" x14ac:dyDescent="0.25">
      <c r="A411" s="7">
        <f t="shared" si="6"/>
        <v>410</v>
      </c>
      <c r="B411" s="2">
        <v>44528</v>
      </c>
      <c r="C411" s="3" t="s">
        <v>94</v>
      </c>
      <c r="D411" s="3" t="s">
        <v>75</v>
      </c>
      <c r="E411" s="3" t="s">
        <v>20</v>
      </c>
      <c r="F411" s="3" t="s">
        <v>81</v>
      </c>
      <c r="G411" s="3">
        <v>0</v>
      </c>
      <c r="H411" s="3" t="s">
        <v>15</v>
      </c>
      <c r="I411" s="3" t="s">
        <v>63</v>
      </c>
      <c r="J411" s="3" t="s">
        <v>70</v>
      </c>
      <c r="K411" s="3" t="s">
        <v>19</v>
      </c>
      <c r="L411" s="4">
        <v>449</v>
      </c>
      <c r="M411" s="15" t="str">
        <f>TEXT(bd_Main[[#This Row],[Data]],"ddd")</f>
        <v>dom</v>
      </c>
      <c r="N411" s="15" t="str">
        <f>TEXT(bd_Main[[#This Row],[Data]],"MMM")</f>
        <v>nov</v>
      </c>
      <c r="O411" s="15" t="str">
        <f>TEXT(bd_Main[[#This Row],[Data]],"AAAA")</f>
        <v>2021</v>
      </c>
    </row>
    <row r="412" spans="1:15" x14ac:dyDescent="0.25">
      <c r="A412" s="7">
        <f t="shared" si="6"/>
        <v>411</v>
      </c>
      <c r="B412" s="2">
        <v>44530</v>
      </c>
      <c r="C412" s="3" t="s">
        <v>92</v>
      </c>
      <c r="D412" s="3" t="s">
        <v>74</v>
      </c>
      <c r="E412" s="3" t="s">
        <v>17</v>
      </c>
      <c r="F412" s="3" t="s">
        <v>84</v>
      </c>
      <c r="G412" s="3">
        <v>1.5</v>
      </c>
      <c r="H412" s="3" t="s">
        <v>25</v>
      </c>
      <c r="I412" s="3" t="s">
        <v>62</v>
      </c>
      <c r="J412" s="3" t="s">
        <v>71</v>
      </c>
      <c r="K412" s="3" t="s">
        <v>19</v>
      </c>
      <c r="L412" s="4">
        <v>4871</v>
      </c>
      <c r="M412" s="15" t="str">
        <f>TEXT(bd_Main[[#This Row],[Data]],"ddd")</f>
        <v>ter</v>
      </c>
      <c r="N412" s="15" t="str">
        <f>TEXT(bd_Main[[#This Row],[Data]],"MMM")</f>
        <v>nov</v>
      </c>
      <c r="O412" s="15" t="str">
        <f>TEXT(bd_Main[[#This Row],[Data]],"AAAA")</f>
        <v>2021</v>
      </c>
    </row>
    <row r="413" spans="1:15" x14ac:dyDescent="0.25">
      <c r="A413" s="7">
        <f t="shared" si="6"/>
        <v>412</v>
      </c>
      <c r="B413" s="2">
        <v>44533</v>
      </c>
      <c r="C413" s="3" t="s">
        <v>93</v>
      </c>
      <c r="D413" s="3" t="s">
        <v>75</v>
      </c>
      <c r="E413" s="3" t="s">
        <v>10</v>
      </c>
      <c r="F413" s="3" t="s">
        <v>87</v>
      </c>
      <c r="G413" s="3">
        <v>0</v>
      </c>
      <c r="H413" s="3" t="s">
        <v>25</v>
      </c>
      <c r="I413" s="3" t="s">
        <v>61</v>
      </c>
      <c r="J413" s="3" t="s">
        <v>70</v>
      </c>
      <c r="K413" s="3" t="s">
        <v>23</v>
      </c>
      <c r="L413" s="4">
        <v>0</v>
      </c>
      <c r="M413" s="15" t="str">
        <f>TEXT(bd_Main[[#This Row],[Data]],"ddd")</f>
        <v>sex</v>
      </c>
      <c r="N413" s="15" t="str">
        <f>TEXT(bd_Main[[#This Row],[Data]],"MMM")</f>
        <v>dez</v>
      </c>
      <c r="O413" s="15" t="str">
        <f>TEXT(bd_Main[[#This Row],[Data]],"AAAA")</f>
        <v>2021</v>
      </c>
    </row>
    <row r="414" spans="1:15" x14ac:dyDescent="0.25">
      <c r="A414" s="7">
        <f t="shared" si="6"/>
        <v>413</v>
      </c>
      <c r="B414" s="2">
        <v>44534</v>
      </c>
      <c r="C414" s="3" t="s">
        <v>95</v>
      </c>
      <c r="D414" s="3" t="s">
        <v>74</v>
      </c>
      <c r="E414" s="3" t="s">
        <v>20</v>
      </c>
      <c r="F414" s="3" t="s">
        <v>81</v>
      </c>
      <c r="G414" s="3">
        <v>0</v>
      </c>
      <c r="H414" s="3" t="s">
        <v>30</v>
      </c>
      <c r="I414" s="3" t="s">
        <v>61</v>
      </c>
      <c r="J414" s="3" t="s">
        <v>71</v>
      </c>
      <c r="K414" s="3" t="s">
        <v>31</v>
      </c>
      <c r="L414" s="4">
        <v>0</v>
      </c>
      <c r="M414" s="15" t="str">
        <f>TEXT(bd_Main[[#This Row],[Data]],"ddd")</f>
        <v>sáb</v>
      </c>
      <c r="N414" s="15" t="str">
        <f>TEXT(bd_Main[[#This Row],[Data]],"MMM")</f>
        <v>dez</v>
      </c>
      <c r="O414" s="15" t="str">
        <f>TEXT(bd_Main[[#This Row],[Data]],"AAAA")</f>
        <v>2021</v>
      </c>
    </row>
    <row r="415" spans="1:15" x14ac:dyDescent="0.25">
      <c r="A415" s="7">
        <f t="shared" si="6"/>
        <v>414</v>
      </c>
      <c r="B415" s="2">
        <v>44536</v>
      </c>
      <c r="C415" s="3" t="s">
        <v>94</v>
      </c>
      <c r="D415" s="3" t="s">
        <v>74</v>
      </c>
      <c r="E415" s="3" t="s">
        <v>10</v>
      </c>
      <c r="F415" s="3" t="s">
        <v>87</v>
      </c>
      <c r="G415" s="3">
        <v>0</v>
      </c>
      <c r="H415" s="3" t="s">
        <v>24</v>
      </c>
      <c r="I415" s="3" t="s">
        <v>64</v>
      </c>
      <c r="J415" s="3" t="s">
        <v>71</v>
      </c>
      <c r="K415" s="3" t="s">
        <v>23</v>
      </c>
      <c r="L415" s="4">
        <v>4021</v>
      </c>
      <c r="M415" s="15" t="str">
        <f>TEXT(bd_Main[[#This Row],[Data]],"ddd")</f>
        <v>seg</v>
      </c>
      <c r="N415" s="15" t="str">
        <f>TEXT(bd_Main[[#This Row],[Data]],"MMM")</f>
        <v>dez</v>
      </c>
      <c r="O415" s="15" t="str">
        <f>TEXT(bd_Main[[#This Row],[Data]],"AAAA")</f>
        <v>2021</v>
      </c>
    </row>
    <row r="416" spans="1:15" x14ac:dyDescent="0.25">
      <c r="A416" s="7">
        <f t="shared" si="6"/>
        <v>415</v>
      </c>
      <c r="B416" s="2">
        <v>44536</v>
      </c>
      <c r="C416" s="3" t="s">
        <v>33</v>
      </c>
      <c r="D416" s="3" t="s">
        <v>74</v>
      </c>
      <c r="E416" s="3" t="s">
        <v>10</v>
      </c>
      <c r="F416" s="3" t="s">
        <v>81</v>
      </c>
      <c r="G416" s="3">
        <v>4.5</v>
      </c>
      <c r="H416" s="3" t="s">
        <v>18</v>
      </c>
      <c r="I416" s="3" t="s">
        <v>62</v>
      </c>
      <c r="J416" s="3" t="s">
        <v>71</v>
      </c>
      <c r="K416" s="3" t="s">
        <v>31</v>
      </c>
      <c r="L416" s="4">
        <v>4399</v>
      </c>
      <c r="M416" s="15" t="str">
        <f>TEXT(bd_Main[[#This Row],[Data]],"ddd")</f>
        <v>seg</v>
      </c>
      <c r="N416" s="15" t="str">
        <f>TEXT(bd_Main[[#This Row],[Data]],"MMM")</f>
        <v>dez</v>
      </c>
      <c r="O416" s="15" t="str">
        <f>TEXT(bd_Main[[#This Row],[Data]],"AAAA")</f>
        <v>2021</v>
      </c>
    </row>
    <row r="417" spans="1:15" x14ac:dyDescent="0.25">
      <c r="A417" s="7">
        <f t="shared" si="6"/>
        <v>416</v>
      </c>
      <c r="B417" s="2">
        <v>44538</v>
      </c>
      <c r="C417" s="3" t="s">
        <v>95</v>
      </c>
      <c r="D417" s="3" t="s">
        <v>74</v>
      </c>
      <c r="E417" s="3" t="s">
        <v>14</v>
      </c>
      <c r="F417" s="3" t="s">
        <v>82</v>
      </c>
      <c r="G417" s="3">
        <v>0</v>
      </c>
      <c r="H417" s="3" t="s">
        <v>29</v>
      </c>
      <c r="I417" s="3" t="s">
        <v>63</v>
      </c>
      <c r="J417" s="3" t="s">
        <v>69</v>
      </c>
      <c r="K417" s="3" t="s">
        <v>12</v>
      </c>
      <c r="L417" s="4">
        <v>324</v>
      </c>
      <c r="M417" s="15" t="str">
        <f>TEXT(bd_Main[[#This Row],[Data]],"ddd")</f>
        <v>qua</v>
      </c>
      <c r="N417" s="15" t="str">
        <f>TEXT(bd_Main[[#This Row],[Data]],"MMM")</f>
        <v>dez</v>
      </c>
      <c r="O417" s="15" t="str">
        <f>TEXT(bd_Main[[#This Row],[Data]],"AAAA")</f>
        <v>2021</v>
      </c>
    </row>
    <row r="418" spans="1:15" x14ac:dyDescent="0.25">
      <c r="A418" s="7">
        <f t="shared" si="6"/>
        <v>417</v>
      </c>
      <c r="B418" s="2">
        <v>44547</v>
      </c>
      <c r="C418" s="3" t="s">
        <v>93</v>
      </c>
      <c r="D418" s="3" t="s">
        <v>74</v>
      </c>
      <c r="E418" s="3" t="s">
        <v>14</v>
      </c>
      <c r="F418" s="3" t="s">
        <v>85</v>
      </c>
      <c r="G418" s="3">
        <v>0</v>
      </c>
      <c r="H418" s="3" t="s">
        <v>15</v>
      </c>
      <c r="I418" s="3" t="s">
        <v>63</v>
      </c>
      <c r="J418" s="3" t="s">
        <v>70</v>
      </c>
      <c r="K418" s="3" t="s">
        <v>28</v>
      </c>
      <c r="L418" s="4">
        <v>125</v>
      </c>
      <c r="M418" s="15" t="str">
        <f>TEXT(bd_Main[[#This Row],[Data]],"ddd")</f>
        <v>sex</v>
      </c>
      <c r="N418" s="15" t="str">
        <f>TEXT(bd_Main[[#This Row],[Data]],"MMM")</f>
        <v>dez</v>
      </c>
      <c r="O418" s="15" t="str">
        <f>TEXT(bd_Main[[#This Row],[Data]],"AAAA")</f>
        <v>2021</v>
      </c>
    </row>
    <row r="419" spans="1:15" x14ac:dyDescent="0.25">
      <c r="A419" s="7">
        <f t="shared" si="6"/>
        <v>418</v>
      </c>
      <c r="B419" s="2">
        <v>44550</v>
      </c>
      <c r="C419" s="3" t="s">
        <v>96</v>
      </c>
      <c r="D419" s="3" t="s">
        <v>74</v>
      </c>
      <c r="E419" s="3" t="s">
        <v>20</v>
      </c>
      <c r="F419" s="3" t="s">
        <v>87</v>
      </c>
      <c r="G419" s="3">
        <v>0</v>
      </c>
      <c r="H419" s="3" t="s">
        <v>11</v>
      </c>
      <c r="I419" s="3" t="s">
        <v>64</v>
      </c>
      <c r="J419" s="3" t="s">
        <v>70</v>
      </c>
      <c r="K419" s="3" t="s">
        <v>23</v>
      </c>
      <c r="L419" s="4">
        <v>2351</v>
      </c>
      <c r="M419" s="15" t="str">
        <f>TEXT(bd_Main[[#This Row],[Data]],"ddd")</f>
        <v>seg</v>
      </c>
      <c r="N419" s="15" t="str">
        <f>TEXT(bd_Main[[#This Row],[Data]],"MMM")</f>
        <v>dez</v>
      </c>
      <c r="O419" s="15" t="str">
        <f>TEXT(bd_Main[[#This Row],[Data]],"AAAA")</f>
        <v>2021</v>
      </c>
    </row>
    <row r="420" spans="1:15" x14ac:dyDescent="0.25">
      <c r="A420" s="7">
        <f t="shared" si="6"/>
        <v>419</v>
      </c>
      <c r="B420" s="2">
        <v>44552</v>
      </c>
      <c r="C420" s="3" t="s">
        <v>90</v>
      </c>
      <c r="D420" s="3" t="s">
        <v>74</v>
      </c>
      <c r="E420" s="3" t="s">
        <v>10</v>
      </c>
      <c r="F420" s="3" t="s">
        <v>87</v>
      </c>
      <c r="G420" s="3">
        <v>0</v>
      </c>
      <c r="H420" s="3" t="s">
        <v>25</v>
      </c>
      <c r="I420" s="3" t="s">
        <v>61</v>
      </c>
      <c r="J420" s="3" t="s">
        <v>70</v>
      </c>
      <c r="K420" s="3" t="s">
        <v>19</v>
      </c>
      <c r="L420" s="4">
        <v>0</v>
      </c>
      <c r="M420" s="15" t="str">
        <f>TEXT(bd_Main[[#This Row],[Data]],"ddd")</f>
        <v>qua</v>
      </c>
      <c r="N420" s="15" t="str">
        <f>TEXT(bd_Main[[#This Row],[Data]],"MMM")</f>
        <v>dez</v>
      </c>
      <c r="O420" s="15" t="str">
        <f>TEXT(bd_Main[[#This Row],[Data]],"AAAA")</f>
        <v>2021</v>
      </c>
    </row>
    <row r="421" spans="1:15" x14ac:dyDescent="0.25">
      <c r="A421" s="7">
        <f t="shared" si="6"/>
        <v>420</v>
      </c>
      <c r="B421" s="2">
        <v>44553</v>
      </c>
      <c r="C421" s="3" t="s">
        <v>94</v>
      </c>
      <c r="D421" s="3" t="s">
        <v>74</v>
      </c>
      <c r="E421" s="3" t="s">
        <v>14</v>
      </c>
      <c r="F421" s="3" t="s">
        <v>83</v>
      </c>
      <c r="G421" s="3">
        <v>0</v>
      </c>
      <c r="H421" s="3" t="s">
        <v>24</v>
      </c>
      <c r="I421" s="3" t="s">
        <v>64</v>
      </c>
      <c r="J421" s="3" t="s">
        <v>70</v>
      </c>
      <c r="K421" s="3" t="s">
        <v>26</v>
      </c>
      <c r="L421" s="4">
        <v>2699</v>
      </c>
      <c r="M421" s="15" t="str">
        <f>TEXT(bd_Main[[#This Row],[Data]],"ddd")</f>
        <v>qui</v>
      </c>
      <c r="N421" s="15" t="str">
        <f>TEXT(bd_Main[[#This Row],[Data]],"MMM")</f>
        <v>dez</v>
      </c>
      <c r="O421" s="15" t="str">
        <f>TEXT(bd_Main[[#This Row],[Data]],"AAAA")</f>
        <v>2021</v>
      </c>
    </row>
    <row r="422" spans="1:15" x14ac:dyDescent="0.25">
      <c r="A422" s="7">
        <f t="shared" si="6"/>
        <v>421</v>
      </c>
      <c r="B422" s="2">
        <v>44558</v>
      </c>
      <c r="C422" s="3" t="s">
        <v>94</v>
      </c>
      <c r="D422" s="3" t="s">
        <v>74</v>
      </c>
      <c r="E422" s="3" t="s">
        <v>14</v>
      </c>
      <c r="F422" s="3" t="s">
        <v>83</v>
      </c>
      <c r="G422" s="3">
        <v>0</v>
      </c>
      <c r="H422" s="3" t="s">
        <v>15</v>
      </c>
      <c r="I422" s="3" t="s">
        <v>63</v>
      </c>
      <c r="J422" s="3" t="s">
        <v>71</v>
      </c>
      <c r="K422" s="3" t="s">
        <v>12</v>
      </c>
      <c r="L422" s="4">
        <v>422</v>
      </c>
      <c r="M422" s="15" t="str">
        <f>TEXT(bd_Main[[#This Row],[Data]],"ddd")</f>
        <v>ter</v>
      </c>
      <c r="N422" s="15" t="str">
        <f>TEXT(bd_Main[[#This Row],[Data]],"MMM")</f>
        <v>dez</v>
      </c>
      <c r="O422" s="15" t="str">
        <f>TEXT(bd_Main[[#This Row],[Data]],"AAAA")</f>
        <v>2021</v>
      </c>
    </row>
    <row r="423" spans="1:15" x14ac:dyDescent="0.25">
      <c r="A423" s="7">
        <f t="shared" si="6"/>
        <v>422</v>
      </c>
      <c r="B423" s="2">
        <v>44559</v>
      </c>
      <c r="C423" s="3" t="s">
        <v>13</v>
      </c>
      <c r="D423" s="3" t="s">
        <v>74</v>
      </c>
      <c r="E423" s="3" t="s">
        <v>20</v>
      </c>
      <c r="F423" s="3" t="s">
        <v>85</v>
      </c>
      <c r="G423" s="3">
        <v>0</v>
      </c>
      <c r="H423" s="3" t="s">
        <v>32</v>
      </c>
      <c r="I423" s="3" t="s">
        <v>61</v>
      </c>
      <c r="J423" s="3" t="s">
        <v>71</v>
      </c>
      <c r="K423" s="3" t="s">
        <v>28</v>
      </c>
      <c r="L423" s="4">
        <v>0</v>
      </c>
      <c r="M423" s="15" t="str">
        <f>TEXT(bd_Main[[#This Row],[Data]],"ddd")</f>
        <v>qua</v>
      </c>
      <c r="N423" s="15" t="str">
        <f>TEXT(bd_Main[[#This Row],[Data]],"MMM")</f>
        <v>dez</v>
      </c>
      <c r="O423" s="15" t="str">
        <f>TEXT(bd_Main[[#This Row],[Data]],"AAAA")</f>
        <v>2021</v>
      </c>
    </row>
    <row r="424" spans="1:15" x14ac:dyDescent="0.25">
      <c r="A424" s="7">
        <f t="shared" si="6"/>
        <v>423</v>
      </c>
      <c r="B424" s="2">
        <v>44563</v>
      </c>
      <c r="C424" s="3" t="s">
        <v>92</v>
      </c>
      <c r="D424" s="3" t="s">
        <v>74</v>
      </c>
      <c r="E424" s="3" t="s">
        <v>20</v>
      </c>
      <c r="F424" s="3" t="s">
        <v>83</v>
      </c>
      <c r="G424" s="3">
        <v>1</v>
      </c>
      <c r="H424" s="3" t="s">
        <v>25</v>
      </c>
      <c r="I424" s="3" t="s">
        <v>62</v>
      </c>
      <c r="J424" s="3" t="s">
        <v>69</v>
      </c>
      <c r="K424" s="3" t="s">
        <v>26</v>
      </c>
      <c r="L424" s="3">
        <v>3582</v>
      </c>
      <c r="M424" s="15" t="str">
        <f>TEXT(bd_Main[[#This Row],[Data]],"ddd")</f>
        <v>dom</v>
      </c>
      <c r="N424" s="15" t="str">
        <f>TEXT(bd_Main[[#This Row],[Data]],"MMM")</f>
        <v>jan</v>
      </c>
      <c r="O424" s="15" t="str">
        <f>TEXT(bd_Main[[#This Row],[Data]],"AAAA")</f>
        <v>2022</v>
      </c>
    </row>
    <row r="425" spans="1:15" x14ac:dyDescent="0.25">
      <c r="A425" s="7">
        <f t="shared" si="6"/>
        <v>424</v>
      </c>
      <c r="B425" s="2">
        <v>44564</v>
      </c>
      <c r="C425" s="3" t="s">
        <v>94</v>
      </c>
      <c r="D425" s="3" t="s">
        <v>74</v>
      </c>
      <c r="E425" s="3" t="s">
        <v>14</v>
      </c>
      <c r="F425" s="3" t="s">
        <v>81</v>
      </c>
      <c r="G425" s="3">
        <v>0</v>
      </c>
      <c r="H425" s="3" t="s">
        <v>24</v>
      </c>
      <c r="I425" s="3" t="s">
        <v>61</v>
      </c>
      <c r="J425" s="3" t="s">
        <v>71</v>
      </c>
      <c r="K425" s="3" t="s">
        <v>22</v>
      </c>
      <c r="L425" s="3">
        <v>0</v>
      </c>
      <c r="M425" s="15" t="str">
        <f>TEXT(bd_Main[[#This Row],[Data]],"ddd")</f>
        <v>seg</v>
      </c>
      <c r="N425" s="15" t="str">
        <f>TEXT(bd_Main[[#This Row],[Data]],"MMM")</f>
        <v>jan</v>
      </c>
      <c r="O425" s="15" t="str">
        <f>TEXT(bd_Main[[#This Row],[Data]],"AAAA")</f>
        <v>2022</v>
      </c>
    </row>
    <row r="426" spans="1:15" x14ac:dyDescent="0.25">
      <c r="A426" s="7">
        <f t="shared" si="6"/>
        <v>425</v>
      </c>
      <c r="B426" s="2">
        <v>44565</v>
      </c>
      <c r="C426" s="3" t="s">
        <v>95</v>
      </c>
      <c r="D426" s="3" t="s">
        <v>74</v>
      </c>
      <c r="E426" s="3" t="s">
        <v>10</v>
      </c>
      <c r="F426" s="3" t="s">
        <v>84</v>
      </c>
      <c r="G426" s="3">
        <v>0</v>
      </c>
      <c r="H426" s="3" t="s">
        <v>11</v>
      </c>
      <c r="I426" s="3" t="s">
        <v>61</v>
      </c>
      <c r="J426" s="3" t="s">
        <v>69</v>
      </c>
      <c r="K426" s="3" t="s">
        <v>12</v>
      </c>
      <c r="L426" s="3">
        <v>0</v>
      </c>
      <c r="M426" s="15" t="str">
        <f>TEXT(bd_Main[[#This Row],[Data]],"ddd")</f>
        <v>ter</v>
      </c>
      <c r="N426" s="15" t="str">
        <f>TEXT(bd_Main[[#This Row],[Data]],"MMM")</f>
        <v>jan</v>
      </c>
      <c r="O426" s="15" t="str">
        <f>TEXT(bd_Main[[#This Row],[Data]],"AAAA")</f>
        <v>2022</v>
      </c>
    </row>
    <row r="427" spans="1:15" x14ac:dyDescent="0.25">
      <c r="A427" s="7">
        <f t="shared" si="6"/>
        <v>426</v>
      </c>
      <c r="B427" s="2">
        <v>44565</v>
      </c>
      <c r="C427" s="3" t="s">
        <v>13</v>
      </c>
      <c r="D427" s="3" t="s">
        <v>74</v>
      </c>
      <c r="E427" s="3" t="s">
        <v>10</v>
      </c>
      <c r="F427" s="3" t="s">
        <v>86</v>
      </c>
      <c r="G427" s="3">
        <v>1.5</v>
      </c>
      <c r="H427" s="3" t="s">
        <v>11</v>
      </c>
      <c r="I427" s="3" t="s">
        <v>62</v>
      </c>
      <c r="J427" s="3" t="s">
        <v>71</v>
      </c>
      <c r="K427" s="3" t="s">
        <v>16</v>
      </c>
      <c r="L427" s="3">
        <v>2459</v>
      </c>
      <c r="M427" s="15" t="str">
        <f>TEXT(bd_Main[[#This Row],[Data]],"ddd")</f>
        <v>ter</v>
      </c>
      <c r="N427" s="15" t="str">
        <f>TEXT(bd_Main[[#This Row],[Data]],"MMM")</f>
        <v>jan</v>
      </c>
      <c r="O427" s="15" t="str">
        <f>TEXT(bd_Main[[#This Row],[Data]],"AAAA")</f>
        <v>2022</v>
      </c>
    </row>
    <row r="428" spans="1:15" x14ac:dyDescent="0.25">
      <c r="A428" s="7">
        <f t="shared" si="6"/>
        <v>427</v>
      </c>
      <c r="B428" s="2">
        <v>44569</v>
      </c>
      <c r="C428" s="3" t="s">
        <v>13</v>
      </c>
      <c r="D428" s="3" t="s">
        <v>74</v>
      </c>
      <c r="E428" s="3" t="s">
        <v>10</v>
      </c>
      <c r="F428" s="3" t="s">
        <v>85</v>
      </c>
      <c r="G428" s="3">
        <v>0</v>
      </c>
      <c r="H428" s="3" t="s">
        <v>29</v>
      </c>
      <c r="I428" s="3" t="s">
        <v>63</v>
      </c>
      <c r="J428" s="3" t="s">
        <v>70</v>
      </c>
      <c r="K428" s="3" t="s">
        <v>23</v>
      </c>
      <c r="L428" s="3">
        <v>60</v>
      </c>
      <c r="M428" s="15" t="str">
        <f>TEXT(bd_Main[[#This Row],[Data]],"ddd")</f>
        <v>sáb</v>
      </c>
      <c r="N428" s="15" t="str">
        <f>TEXT(bd_Main[[#This Row],[Data]],"MMM")</f>
        <v>jan</v>
      </c>
      <c r="O428" s="15" t="str">
        <f>TEXT(bd_Main[[#This Row],[Data]],"AAAA")</f>
        <v>2022</v>
      </c>
    </row>
    <row r="429" spans="1:15" x14ac:dyDescent="0.25">
      <c r="A429" s="7">
        <f t="shared" si="6"/>
        <v>428</v>
      </c>
      <c r="B429" s="2">
        <v>44570</v>
      </c>
      <c r="C429" s="3" t="s">
        <v>96</v>
      </c>
      <c r="D429" s="3" t="s">
        <v>75</v>
      </c>
      <c r="E429" s="3" t="s">
        <v>14</v>
      </c>
      <c r="F429" s="3" t="s">
        <v>87</v>
      </c>
      <c r="G429" s="3">
        <v>4</v>
      </c>
      <c r="H429" s="3" t="s">
        <v>15</v>
      </c>
      <c r="I429" s="3" t="s">
        <v>62</v>
      </c>
      <c r="J429" s="3" t="s">
        <v>71</v>
      </c>
      <c r="K429" s="3" t="s">
        <v>22</v>
      </c>
      <c r="L429" s="3">
        <v>736</v>
      </c>
      <c r="M429" s="15" t="str">
        <f>TEXT(bd_Main[[#This Row],[Data]],"ddd")</f>
        <v>dom</v>
      </c>
      <c r="N429" s="15" t="str">
        <f>TEXT(bd_Main[[#This Row],[Data]],"MMM")</f>
        <v>jan</v>
      </c>
      <c r="O429" s="15" t="str">
        <f>TEXT(bd_Main[[#This Row],[Data]],"AAAA")</f>
        <v>2022</v>
      </c>
    </row>
    <row r="430" spans="1:15" x14ac:dyDescent="0.25">
      <c r="A430" s="7">
        <f t="shared" si="6"/>
        <v>429</v>
      </c>
      <c r="B430" s="2">
        <v>44573</v>
      </c>
      <c r="C430" s="3" t="s">
        <v>95</v>
      </c>
      <c r="D430" s="3" t="s">
        <v>74</v>
      </c>
      <c r="E430" s="3" t="s">
        <v>20</v>
      </c>
      <c r="F430" s="3" t="s">
        <v>83</v>
      </c>
      <c r="G430" s="3">
        <v>0</v>
      </c>
      <c r="H430" s="3" t="s">
        <v>29</v>
      </c>
      <c r="I430" s="3" t="s">
        <v>61</v>
      </c>
      <c r="J430" s="3" t="s">
        <v>70</v>
      </c>
      <c r="K430" s="3" t="s">
        <v>12</v>
      </c>
      <c r="L430" s="3">
        <v>0</v>
      </c>
      <c r="M430" s="15" t="str">
        <f>TEXT(bd_Main[[#This Row],[Data]],"ddd")</f>
        <v>qua</v>
      </c>
      <c r="N430" s="15" t="str">
        <f>TEXT(bd_Main[[#This Row],[Data]],"MMM")</f>
        <v>jan</v>
      </c>
      <c r="O430" s="15" t="str">
        <f>TEXT(bd_Main[[#This Row],[Data]],"AAAA")</f>
        <v>2022</v>
      </c>
    </row>
    <row r="431" spans="1:15" x14ac:dyDescent="0.25">
      <c r="A431" s="7">
        <f t="shared" si="6"/>
        <v>430</v>
      </c>
      <c r="B431" s="2">
        <v>44575</v>
      </c>
      <c r="C431" s="3" t="s">
        <v>13</v>
      </c>
      <c r="D431" s="3" t="s">
        <v>74</v>
      </c>
      <c r="E431" s="3" t="s">
        <v>14</v>
      </c>
      <c r="F431" s="3" t="s">
        <v>79</v>
      </c>
      <c r="G431" s="3">
        <v>0</v>
      </c>
      <c r="H431" s="3" t="s">
        <v>32</v>
      </c>
      <c r="I431" s="3" t="s">
        <v>61</v>
      </c>
      <c r="J431" s="3" t="s">
        <v>71</v>
      </c>
      <c r="K431" s="3" t="s">
        <v>27</v>
      </c>
      <c r="L431" s="3">
        <v>0</v>
      </c>
      <c r="M431" s="15" t="str">
        <f>TEXT(bd_Main[[#This Row],[Data]],"ddd")</f>
        <v>sex</v>
      </c>
      <c r="N431" s="15" t="str">
        <f>TEXT(bd_Main[[#This Row],[Data]],"MMM")</f>
        <v>jan</v>
      </c>
      <c r="O431" s="15" t="str">
        <f>TEXT(bd_Main[[#This Row],[Data]],"AAAA")</f>
        <v>2022</v>
      </c>
    </row>
    <row r="432" spans="1:15" x14ac:dyDescent="0.25">
      <c r="A432" s="7">
        <f t="shared" si="6"/>
        <v>431</v>
      </c>
      <c r="B432" s="2">
        <v>44576</v>
      </c>
      <c r="C432" s="3" t="s">
        <v>93</v>
      </c>
      <c r="D432" s="3" t="s">
        <v>74</v>
      </c>
      <c r="E432" s="3" t="s">
        <v>20</v>
      </c>
      <c r="F432" s="3" t="s">
        <v>85</v>
      </c>
      <c r="G432" s="3">
        <v>0</v>
      </c>
      <c r="H432" s="3" t="s">
        <v>15</v>
      </c>
      <c r="I432" s="3" t="s">
        <v>64</v>
      </c>
      <c r="J432" s="3" t="s">
        <v>70</v>
      </c>
      <c r="K432" s="3" t="s">
        <v>22</v>
      </c>
      <c r="L432" s="3">
        <v>1045</v>
      </c>
      <c r="M432" s="15" t="str">
        <f>TEXT(bd_Main[[#This Row],[Data]],"ddd")</f>
        <v>sáb</v>
      </c>
      <c r="N432" s="15" t="str">
        <f>TEXT(bd_Main[[#This Row],[Data]],"MMM")</f>
        <v>jan</v>
      </c>
      <c r="O432" s="15" t="str">
        <f>TEXT(bd_Main[[#This Row],[Data]],"AAAA")</f>
        <v>2022</v>
      </c>
    </row>
    <row r="433" spans="1:15" x14ac:dyDescent="0.25">
      <c r="A433" s="7">
        <f t="shared" si="6"/>
        <v>432</v>
      </c>
      <c r="B433" s="2">
        <v>44577</v>
      </c>
      <c r="C433" s="3" t="s">
        <v>93</v>
      </c>
      <c r="D433" s="3" t="s">
        <v>74</v>
      </c>
      <c r="E433" s="3" t="s">
        <v>20</v>
      </c>
      <c r="F433" s="3" t="s">
        <v>84</v>
      </c>
      <c r="G433" s="3">
        <v>0</v>
      </c>
      <c r="H433" s="3" t="s">
        <v>32</v>
      </c>
      <c r="I433" s="3" t="s">
        <v>63</v>
      </c>
      <c r="J433" s="3" t="s">
        <v>70</v>
      </c>
      <c r="K433" s="3" t="s">
        <v>26</v>
      </c>
      <c r="L433" s="3">
        <v>83</v>
      </c>
      <c r="M433" s="15" t="str">
        <f>TEXT(bd_Main[[#This Row],[Data]],"ddd")</f>
        <v>dom</v>
      </c>
      <c r="N433" s="15" t="str">
        <f>TEXT(bd_Main[[#This Row],[Data]],"MMM")</f>
        <v>jan</v>
      </c>
      <c r="O433" s="15" t="str">
        <f>TEXT(bd_Main[[#This Row],[Data]],"AAAA")</f>
        <v>2022</v>
      </c>
    </row>
    <row r="434" spans="1:15" x14ac:dyDescent="0.25">
      <c r="A434" s="7">
        <f t="shared" si="6"/>
        <v>433</v>
      </c>
      <c r="B434" s="2">
        <v>44577</v>
      </c>
      <c r="C434" s="3" t="s">
        <v>91</v>
      </c>
      <c r="D434" s="3" t="s">
        <v>74</v>
      </c>
      <c r="E434" s="3" t="s">
        <v>20</v>
      </c>
      <c r="F434" s="3" t="s">
        <v>84</v>
      </c>
      <c r="G434" s="3">
        <v>0</v>
      </c>
      <c r="H434" s="3" t="s">
        <v>30</v>
      </c>
      <c r="I434" s="3" t="s">
        <v>61</v>
      </c>
      <c r="J434" s="3" t="s">
        <v>71</v>
      </c>
      <c r="K434" s="3" t="s">
        <v>23</v>
      </c>
      <c r="L434" s="3">
        <v>0</v>
      </c>
      <c r="M434" s="15" t="str">
        <f>TEXT(bd_Main[[#This Row],[Data]],"ddd")</f>
        <v>dom</v>
      </c>
      <c r="N434" s="15" t="str">
        <f>TEXT(bd_Main[[#This Row],[Data]],"MMM")</f>
        <v>jan</v>
      </c>
      <c r="O434" s="15" t="str">
        <f>TEXT(bd_Main[[#This Row],[Data]],"AAAA")</f>
        <v>2022</v>
      </c>
    </row>
    <row r="435" spans="1:15" x14ac:dyDescent="0.25">
      <c r="A435" s="7">
        <f t="shared" si="6"/>
        <v>434</v>
      </c>
      <c r="B435" s="2">
        <v>44580</v>
      </c>
      <c r="C435" s="3" t="s">
        <v>96</v>
      </c>
      <c r="D435" s="3" t="s">
        <v>74</v>
      </c>
      <c r="E435" s="3" t="s">
        <v>14</v>
      </c>
      <c r="F435" s="3" t="s">
        <v>79</v>
      </c>
      <c r="G435" s="3">
        <v>1.5</v>
      </c>
      <c r="H435" s="3" t="s">
        <v>15</v>
      </c>
      <c r="I435" s="3" t="s">
        <v>62</v>
      </c>
      <c r="J435" s="3" t="s">
        <v>70</v>
      </c>
      <c r="K435" s="3" t="s">
        <v>22</v>
      </c>
      <c r="L435" s="3">
        <v>998</v>
      </c>
      <c r="M435" s="15" t="str">
        <f>TEXT(bd_Main[[#This Row],[Data]],"ddd")</f>
        <v>qua</v>
      </c>
      <c r="N435" s="15" t="str">
        <f>TEXT(bd_Main[[#This Row],[Data]],"MMM")</f>
        <v>jan</v>
      </c>
      <c r="O435" s="15" t="str">
        <f>TEXT(bd_Main[[#This Row],[Data]],"AAAA")</f>
        <v>2022</v>
      </c>
    </row>
    <row r="436" spans="1:15" x14ac:dyDescent="0.25">
      <c r="A436" s="7">
        <f t="shared" si="6"/>
        <v>435</v>
      </c>
      <c r="B436" s="2">
        <v>44580</v>
      </c>
      <c r="C436" s="3" t="s">
        <v>96</v>
      </c>
      <c r="D436" s="3" t="s">
        <v>74</v>
      </c>
      <c r="E436" s="3" t="s">
        <v>10</v>
      </c>
      <c r="F436" s="3" t="s">
        <v>79</v>
      </c>
      <c r="G436" s="3">
        <v>1</v>
      </c>
      <c r="H436" s="3" t="s">
        <v>25</v>
      </c>
      <c r="I436" s="3" t="s">
        <v>62</v>
      </c>
      <c r="J436" s="3" t="s">
        <v>70</v>
      </c>
      <c r="K436" s="3" t="s">
        <v>12</v>
      </c>
      <c r="L436" s="3">
        <v>2170</v>
      </c>
      <c r="M436" s="15" t="str">
        <f>TEXT(bd_Main[[#This Row],[Data]],"ddd")</f>
        <v>qua</v>
      </c>
      <c r="N436" s="15" t="str">
        <f>TEXT(bd_Main[[#This Row],[Data]],"MMM")</f>
        <v>jan</v>
      </c>
      <c r="O436" s="15" t="str">
        <f>TEXT(bd_Main[[#This Row],[Data]],"AAAA")</f>
        <v>2022</v>
      </c>
    </row>
    <row r="437" spans="1:15" x14ac:dyDescent="0.25">
      <c r="A437" s="7">
        <f t="shared" si="6"/>
        <v>436</v>
      </c>
      <c r="B437" s="2">
        <v>44581</v>
      </c>
      <c r="C437" s="3" t="s">
        <v>92</v>
      </c>
      <c r="D437" s="3" t="s">
        <v>74</v>
      </c>
      <c r="E437" s="3" t="s">
        <v>17</v>
      </c>
      <c r="F437" s="3" t="s">
        <v>83</v>
      </c>
      <c r="G437" s="3">
        <v>0</v>
      </c>
      <c r="H437" s="3" t="s">
        <v>11</v>
      </c>
      <c r="I437" s="3" t="s">
        <v>63</v>
      </c>
      <c r="J437" s="3" t="s">
        <v>71</v>
      </c>
      <c r="K437" s="3" t="s">
        <v>19</v>
      </c>
      <c r="L437" s="3">
        <v>385</v>
      </c>
      <c r="M437" s="15" t="str">
        <f>TEXT(bd_Main[[#This Row],[Data]],"ddd")</f>
        <v>qui</v>
      </c>
      <c r="N437" s="15" t="str">
        <f>TEXT(bd_Main[[#This Row],[Data]],"MMM")</f>
        <v>jan</v>
      </c>
      <c r="O437" s="15" t="str">
        <f>TEXT(bd_Main[[#This Row],[Data]],"AAAA")</f>
        <v>2022</v>
      </c>
    </row>
    <row r="438" spans="1:15" x14ac:dyDescent="0.25">
      <c r="A438" s="7">
        <f t="shared" si="6"/>
        <v>437</v>
      </c>
      <c r="B438" s="2">
        <v>44582</v>
      </c>
      <c r="C438" s="3" t="s">
        <v>94</v>
      </c>
      <c r="D438" s="3" t="s">
        <v>74</v>
      </c>
      <c r="E438" s="3" t="s">
        <v>17</v>
      </c>
      <c r="F438" s="3" t="s">
        <v>79</v>
      </c>
      <c r="G438" s="3">
        <v>0</v>
      </c>
      <c r="H438" s="3" t="s">
        <v>15</v>
      </c>
      <c r="I438" s="3" t="s">
        <v>64</v>
      </c>
      <c r="J438" s="3" t="s">
        <v>69</v>
      </c>
      <c r="K438" s="3" t="s">
        <v>23</v>
      </c>
      <c r="L438" s="3">
        <v>1277</v>
      </c>
      <c r="M438" s="15" t="str">
        <f>TEXT(bd_Main[[#This Row],[Data]],"ddd")</f>
        <v>sex</v>
      </c>
      <c r="N438" s="15" t="str">
        <f>TEXT(bd_Main[[#This Row],[Data]],"MMM")</f>
        <v>jan</v>
      </c>
      <c r="O438" s="15" t="str">
        <f>TEXT(bd_Main[[#This Row],[Data]],"AAAA")</f>
        <v>2022</v>
      </c>
    </row>
    <row r="439" spans="1:15" x14ac:dyDescent="0.25">
      <c r="A439" s="7">
        <f t="shared" si="6"/>
        <v>438</v>
      </c>
      <c r="B439" s="2">
        <v>44583</v>
      </c>
      <c r="C439" s="3" t="s">
        <v>94</v>
      </c>
      <c r="D439" s="3" t="s">
        <v>74</v>
      </c>
      <c r="E439" s="3" t="s">
        <v>14</v>
      </c>
      <c r="F439" s="3" t="s">
        <v>81</v>
      </c>
      <c r="G439" s="3">
        <v>0</v>
      </c>
      <c r="H439" s="3" t="s">
        <v>18</v>
      </c>
      <c r="I439" s="3" t="s">
        <v>63</v>
      </c>
      <c r="J439" s="3" t="s">
        <v>69</v>
      </c>
      <c r="K439" s="3" t="s">
        <v>23</v>
      </c>
      <c r="L439" s="3">
        <v>350</v>
      </c>
      <c r="M439" s="15" t="str">
        <f>TEXT(bd_Main[[#This Row],[Data]],"ddd")</f>
        <v>sáb</v>
      </c>
      <c r="N439" s="15" t="str">
        <f>TEXT(bd_Main[[#This Row],[Data]],"MMM")</f>
        <v>jan</v>
      </c>
      <c r="O439" s="15" t="str">
        <f>TEXT(bd_Main[[#This Row],[Data]],"AAAA")</f>
        <v>2022</v>
      </c>
    </row>
    <row r="440" spans="1:15" x14ac:dyDescent="0.25">
      <c r="A440" s="7">
        <f t="shared" si="6"/>
        <v>439</v>
      </c>
      <c r="B440" s="2">
        <v>44588</v>
      </c>
      <c r="C440" s="3" t="s">
        <v>95</v>
      </c>
      <c r="D440" s="3" t="s">
        <v>74</v>
      </c>
      <c r="E440" s="3" t="s">
        <v>10</v>
      </c>
      <c r="F440" s="3" t="s">
        <v>80</v>
      </c>
      <c r="G440" s="3">
        <v>0</v>
      </c>
      <c r="H440" s="3" t="s">
        <v>21</v>
      </c>
      <c r="I440" s="3" t="s">
        <v>64</v>
      </c>
      <c r="J440" s="3" t="s">
        <v>71</v>
      </c>
      <c r="K440" s="3" t="s">
        <v>19</v>
      </c>
      <c r="L440" s="3">
        <v>2321</v>
      </c>
      <c r="M440" s="15" t="str">
        <f>TEXT(bd_Main[[#This Row],[Data]],"ddd")</f>
        <v>qui</v>
      </c>
      <c r="N440" s="15" t="str">
        <f>TEXT(bd_Main[[#This Row],[Data]],"MMM")</f>
        <v>jan</v>
      </c>
      <c r="O440" s="15" t="str">
        <f>TEXT(bd_Main[[#This Row],[Data]],"AAAA")</f>
        <v>2022</v>
      </c>
    </row>
    <row r="441" spans="1:15" x14ac:dyDescent="0.25">
      <c r="A441" s="7">
        <f t="shared" si="6"/>
        <v>440</v>
      </c>
      <c r="B441" s="2">
        <v>44589</v>
      </c>
      <c r="C441" s="3" t="s">
        <v>90</v>
      </c>
      <c r="D441" s="3" t="s">
        <v>74</v>
      </c>
      <c r="E441" s="3" t="s">
        <v>17</v>
      </c>
      <c r="F441" s="3" t="s">
        <v>82</v>
      </c>
      <c r="G441" s="3">
        <v>0</v>
      </c>
      <c r="H441" s="3" t="s">
        <v>25</v>
      </c>
      <c r="I441" s="3" t="s">
        <v>61</v>
      </c>
      <c r="J441" s="3" t="s">
        <v>70</v>
      </c>
      <c r="K441" s="3" t="s">
        <v>28</v>
      </c>
      <c r="L441" s="3">
        <v>0</v>
      </c>
      <c r="M441" s="15" t="str">
        <f>TEXT(bd_Main[[#This Row],[Data]],"ddd")</f>
        <v>sex</v>
      </c>
      <c r="N441" s="15" t="str">
        <f>TEXT(bd_Main[[#This Row],[Data]],"MMM")</f>
        <v>jan</v>
      </c>
      <c r="O441" s="15" t="str">
        <f>TEXT(bd_Main[[#This Row],[Data]],"AAAA")</f>
        <v>2022</v>
      </c>
    </row>
    <row r="442" spans="1:15" x14ac:dyDescent="0.25">
      <c r="A442" s="7">
        <f t="shared" si="6"/>
        <v>441</v>
      </c>
      <c r="B442" s="2">
        <v>44589</v>
      </c>
      <c r="C442" s="3" t="s">
        <v>90</v>
      </c>
      <c r="D442" s="3" t="s">
        <v>74</v>
      </c>
      <c r="E442" s="3" t="s">
        <v>17</v>
      </c>
      <c r="F442" s="3" t="s">
        <v>87</v>
      </c>
      <c r="G442" s="3">
        <v>2.5</v>
      </c>
      <c r="H442" s="3" t="s">
        <v>25</v>
      </c>
      <c r="I442" s="3" t="s">
        <v>62</v>
      </c>
      <c r="J442" s="3" t="s">
        <v>69</v>
      </c>
      <c r="K442" s="3" t="s">
        <v>31</v>
      </c>
      <c r="L442" s="3">
        <v>4947</v>
      </c>
      <c r="M442" s="15" t="str">
        <f>TEXT(bd_Main[[#This Row],[Data]],"ddd")</f>
        <v>sex</v>
      </c>
      <c r="N442" s="15" t="str">
        <f>TEXT(bd_Main[[#This Row],[Data]],"MMM")</f>
        <v>jan</v>
      </c>
      <c r="O442" s="15" t="str">
        <f>TEXT(bd_Main[[#This Row],[Data]],"AAAA")</f>
        <v>2022</v>
      </c>
    </row>
    <row r="443" spans="1:15" x14ac:dyDescent="0.25">
      <c r="A443" s="7">
        <f t="shared" si="6"/>
        <v>442</v>
      </c>
      <c r="B443" s="2">
        <v>44591</v>
      </c>
      <c r="C443" s="3" t="s">
        <v>94</v>
      </c>
      <c r="D443" s="3" t="s">
        <v>75</v>
      </c>
      <c r="E443" s="3" t="s">
        <v>14</v>
      </c>
      <c r="F443" s="3" t="s">
        <v>83</v>
      </c>
      <c r="G443" s="3">
        <v>5</v>
      </c>
      <c r="H443" s="3" t="s">
        <v>21</v>
      </c>
      <c r="I443" s="3" t="s">
        <v>62</v>
      </c>
      <c r="J443" s="3" t="s">
        <v>70</v>
      </c>
      <c r="K443" s="3" t="s">
        <v>27</v>
      </c>
      <c r="L443" s="3">
        <v>1919</v>
      </c>
      <c r="M443" s="15" t="str">
        <f>TEXT(bd_Main[[#This Row],[Data]],"ddd")</f>
        <v>dom</v>
      </c>
      <c r="N443" s="15" t="str">
        <f>TEXT(bd_Main[[#This Row],[Data]],"MMM")</f>
        <v>jan</v>
      </c>
      <c r="O443" s="15" t="str">
        <f>TEXT(bd_Main[[#This Row],[Data]],"AAAA")</f>
        <v>2022</v>
      </c>
    </row>
    <row r="444" spans="1:15" x14ac:dyDescent="0.25">
      <c r="A444" s="7">
        <f t="shared" si="6"/>
        <v>443</v>
      </c>
      <c r="B444" s="2">
        <v>44594</v>
      </c>
      <c r="C444" s="3" t="s">
        <v>92</v>
      </c>
      <c r="D444" s="3" t="s">
        <v>74</v>
      </c>
      <c r="E444" s="3" t="s">
        <v>14</v>
      </c>
      <c r="F444" s="3" t="s">
        <v>80</v>
      </c>
      <c r="G444" s="3">
        <v>0</v>
      </c>
      <c r="H444" s="3" t="s">
        <v>29</v>
      </c>
      <c r="I444" s="3" t="s">
        <v>61</v>
      </c>
      <c r="J444" s="3" t="s">
        <v>69</v>
      </c>
      <c r="K444" s="3" t="s">
        <v>16</v>
      </c>
      <c r="L444" s="3">
        <v>0</v>
      </c>
      <c r="M444" s="15" t="str">
        <f>TEXT(bd_Main[[#This Row],[Data]],"ddd")</f>
        <v>qua</v>
      </c>
      <c r="N444" s="15" t="str">
        <f>TEXT(bd_Main[[#This Row],[Data]],"MMM")</f>
        <v>fev</v>
      </c>
      <c r="O444" s="15" t="str">
        <f>TEXT(bd_Main[[#This Row],[Data]],"AAAA")</f>
        <v>2022</v>
      </c>
    </row>
    <row r="445" spans="1:15" x14ac:dyDescent="0.25">
      <c r="A445" s="7">
        <f t="shared" si="6"/>
        <v>444</v>
      </c>
      <c r="B445" s="2">
        <v>44594</v>
      </c>
      <c r="C445" s="3" t="s">
        <v>13</v>
      </c>
      <c r="D445" s="3" t="s">
        <v>74</v>
      </c>
      <c r="E445" s="3" t="s">
        <v>10</v>
      </c>
      <c r="F445" s="3" t="s">
        <v>80</v>
      </c>
      <c r="G445" s="3">
        <v>1.5</v>
      </c>
      <c r="H445" s="3" t="s">
        <v>15</v>
      </c>
      <c r="I445" s="3" t="s">
        <v>62</v>
      </c>
      <c r="J445" s="3" t="s">
        <v>71</v>
      </c>
      <c r="K445" s="3" t="s">
        <v>22</v>
      </c>
      <c r="L445" s="3">
        <v>2381</v>
      </c>
      <c r="M445" s="15" t="str">
        <f>TEXT(bd_Main[[#This Row],[Data]],"ddd")</f>
        <v>qua</v>
      </c>
      <c r="N445" s="15" t="str">
        <f>TEXT(bd_Main[[#This Row],[Data]],"MMM")</f>
        <v>fev</v>
      </c>
      <c r="O445" s="15" t="str">
        <f>TEXT(bd_Main[[#This Row],[Data]],"AAAA")</f>
        <v>2022</v>
      </c>
    </row>
    <row r="446" spans="1:15" x14ac:dyDescent="0.25">
      <c r="A446" s="7">
        <f t="shared" si="6"/>
        <v>445</v>
      </c>
      <c r="B446" s="2">
        <v>44598</v>
      </c>
      <c r="C446" s="3" t="s">
        <v>92</v>
      </c>
      <c r="D446" s="3" t="s">
        <v>74</v>
      </c>
      <c r="E446" s="3" t="s">
        <v>20</v>
      </c>
      <c r="F446" s="3" t="s">
        <v>82</v>
      </c>
      <c r="G446" s="3">
        <v>0</v>
      </c>
      <c r="H446" s="3" t="s">
        <v>18</v>
      </c>
      <c r="I446" s="3" t="s">
        <v>64</v>
      </c>
      <c r="J446" s="3" t="s">
        <v>69</v>
      </c>
      <c r="K446" s="3" t="s">
        <v>22</v>
      </c>
      <c r="L446" s="3">
        <v>534</v>
      </c>
      <c r="M446" s="15" t="str">
        <f>TEXT(bd_Main[[#This Row],[Data]],"ddd")</f>
        <v>dom</v>
      </c>
      <c r="N446" s="15" t="str">
        <f>TEXT(bd_Main[[#This Row],[Data]],"MMM")</f>
        <v>fev</v>
      </c>
      <c r="O446" s="15" t="str">
        <f>TEXT(bd_Main[[#This Row],[Data]],"AAAA")</f>
        <v>2022</v>
      </c>
    </row>
    <row r="447" spans="1:15" x14ac:dyDescent="0.25">
      <c r="A447" s="7">
        <f t="shared" si="6"/>
        <v>446</v>
      </c>
      <c r="B447" s="2">
        <v>44599</v>
      </c>
      <c r="C447" s="3" t="s">
        <v>33</v>
      </c>
      <c r="D447" s="3" t="s">
        <v>74</v>
      </c>
      <c r="E447" s="3" t="s">
        <v>17</v>
      </c>
      <c r="F447" s="3" t="s">
        <v>82</v>
      </c>
      <c r="G447" s="3">
        <v>0</v>
      </c>
      <c r="H447" s="3" t="s">
        <v>18</v>
      </c>
      <c r="I447" s="3" t="s">
        <v>63</v>
      </c>
      <c r="J447" s="3" t="s">
        <v>70</v>
      </c>
      <c r="K447" s="3" t="s">
        <v>27</v>
      </c>
      <c r="L447" s="3">
        <v>461</v>
      </c>
      <c r="M447" s="15" t="str">
        <f>TEXT(bd_Main[[#This Row],[Data]],"ddd")</f>
        <v>seg</v>
      </c>
      <c r="N447" s="15" t="str">
        <f>TEXT(bd_Main[[#This Row],[Data]],"MMM")</f>
        <v>fev</v>
      </c>
      <c r="O447" s="15" t="str">
        <f>TEXT(bd_Main[[#This Row],[Data]],"AAAA")</f>
        <v>2022</v>
      </c>
    </row>
    <row r="448" spans="1:15" x14ac:dyDescent="0.25">
      <c r="A448" s="7">
        <f t="shared" si="6"/>
        <v>447</v>
      </c>
      <c r="B448" s="2">
        <v>44600</v>
      </c>
      <c r="C448" s="3" t="s">
        <v>94</v>
      </c>
      <c r="D448" s="3" t="s">
        <v>74</v>
      </c>
      <c r="E448" s="3" t="s">
        <v>20</v>
      </c>
      <c r="F448" s="3" t="s">
        <v>86</v>
      </c>
      <c r="G448" s="3">
        <v>0</v>
      </c>
      <c r="H448" s="3" t="s">
        <v>18</v>
      </c>
      <c r="I448" s="3" t="s">
        <v>61</v>
      </c>
      <c r="J448" s="3" t="s">
        <v>71</v>
      </c>
      <c r="K448" s="3" t="s">
        <v>22</v>
      </c>
      <c r="L448" s="3">
        <v>0</v>
      </c>
      <c r="M448" s="15" t="str">
        <f>TEXT(bd_Main[[#This Row],[Data]],"ddd")</f>
        <v>ter</v>
      </c>
      <c r="N448" s="15" t="str">
        <f>TEXT(bd_Main[[#This Row],[Data]],"MMM")</f>
        <v>fev</v>
      </c>
      <c r="O448" s="15" t="str">
        <f>TEXT(bd_Main[[#This Row],[Data]],"AAAA")</f>
        <v>2022</v>
      </c>
    </row>
    <row r="449" spans="1:15" x14ac:dyDescent="0.25">
      <c r="A449" s="7">
        <f t="shared" si="6"/>
        <v>448</v>
      </c>
      <c r="B449" s="2">
        <v>44600</v>
      </c>
      <c r="C449" s="3" t="s">
        <v>96</v>
      </c>
      <c r="D449" s="3" t="s">
        <v>74</v>
      </c>
      <c r="E449" s="3" t="s">
        <v>14</v>
      </c>
      <c r="F449" s="3" t="s">
        <v>85</v>
      </c>
      <c r="G449" s="3">
        <v>4</v>
      </c>
      <c r="H449" s="3" t="s">
        <v>18</v>
      </c>
      <c r="I449" s="3" t="s">
        <v>62</v>
      </c>
      <c r="J449" s="3" t="s">
        <v>71</v>
      </c>
      <c r="K449" s="3" t="s">
        <v>16</v>
      </c>
      <c r="L449" s="3">
        <v>1392</v>
      </c>
      <c r="M449" s="15" t="str">
        <f>TEXT(bd_Main[[#This Row],[Data]],"ddd")</f>
        <v>ter</v>
      </c>
      <c r="N449" s="15" t="str">
        <f>TEXT(bd_Main[[#This Row],[Data]],"MMM")</f>
        <v>fev</v>
      </c>
      <c r="O449" s="15" t="str">
        <f>TEXT(bd_Main[[#This Row],[Data]],"AAAA")</f>
        <v>2022</v>
      </c>
    </row>
    <row r="450" spans="1:15" x14ac:dyDescent="0.25">
      <c r="A450" s="7">
        <f t="shared" ref="A450:A515" si="7">ROW(A450)-1</f>
        <v>449</v>
      </c>
      <c r="B450" s="2">
        <v>44601</v>
      </c>
      <c r="C450" s="3" t="s">
        <v>93</v>
      </c>
      <c r="D450" s="3" t="s">
        <v>74</v>
      </c>
      <c r="E450" s="3" t="s">
        <v>20</v>
      </c>
      <c r="F450" s="3" t="s">
        <v>85</v>
      </c>
      <c r="G450" s="3">
        <v>4</v>
      </c>
      <c r="H450" s="3" t="s">
        <v>29</v>
      </c>
      <c r="I450" s="3" t="s">
        <v>62</v>
      </c>
      <c r="J450" s="3" t="s">
        <v>71</v>
      </c>
      <c r="K450" s="3" t="s">
        <v>28</v>
      </c>
      <c r="L450" s="3">
        <v>540</v>
      </c>
      <c r="M450" s="15" t="str">
        <f>TEXT(bd_Main[[#This Row],[Data]],"ddd")</f>
        <v>qua</v>
      </c>
      <c r="N450" s="15" t="str">
        <f>TEXT(bd_Main[[#This Row],[Data]],"MMM")</f>
        <v>fev</v>
      </c>
      <c r="O450" s="15" t="str">
        <f>TEXT(bd_Main[[#This Row],[Data]],"AAAA")</f>
        <v>2022</v>
      </c>
    </row>
    <row r="451" spans="1:15" x14ac:dyDescent="0.25">
      <c r="A451" s="7">
        <f t="shared" si="7"/>
        <v>450</v>
      </c>
      <c r="B451" s="2">
        <v>44601</v>
      </c>
      <c r="C451" s="3" t="s">
        <v>13</v>
      </c>
      <c r="D451" s="3" t="s">
        <v>74</v>
      </c>
      <c r="E451" s="3" t="s">
        <v>20</v>
      </c>
      <c r="F451" s="3" t="s">
        <v>81</v>
      </c>
      <c r="G451" s="3">
        <v>0</v>
      </c>
      <c r="H451" s="3" t="s">
        <v>32</v>
      </c>
      <c r="I451" s="3" t="s">
        <v>63</v>
      </c>
      <c r="J451" s="3" t="s">
        <v>71</v>
      </c>
      <c r="K451" s="3" t="s">
        <v>22</v>
      </c>
      <c r="L451" s="3">
        <v>41</v>
      </c>
      <c r="M451" s="15" t="str">
        <f>TEXT(bd_Main[[#This Row],[Data]],"ddd")</f>
        <v>qua</v>
      </c>
      <c r="N451" s="15" t="str">
        <f>TEXT(bd_Main[[#This Row],[Data]],"MMM")</f>
        <v>fev</v>
      </c>
      <c r="O451" s="15" t="str">
        <f>TEXT(bd_Main[[#This Row],[Data]],"AAAA")</f>
        <v>2022</v>
      </c>
    </row>
    <row r="452" spans="1:15" x14ac:dyDescent="0.25">
      <c r="A452" s="7">
        <f t="shared" si="7"/>
        <v>451</v>
      </c>
      <c r="B452" s="2">
        <v>44602</v>
      </c>
      <c r="C452" s="3" t="s">
        <v>92</v>
      </c>
      <c r="D452" s="3" t="s">
        <v>74</v>
      </c>
      <c r="E452" s="3" t="s">
        <v>10</v>
      </c>
      <c r="F452" s="3" t="s">
        <v>87</v>
      </c>
      <c r="G452" s="3">
        <v>0</v>
      </c>
      <c r="H452" s="3" t="s">
        <v>11</v>
      </c>
      <c r="I452" s="3" t="s">
        <v>64</v>
      </c>
      <c r="J452" s="3" t="s">
        <v>69</v>
      </c>
      <c r="K452" s="3" t="s">
        <v>19</v>
      </c>
      <c r="L452" s="3">
        <v>719</v>
      </c>
      <c r="M452" s="15" t="str">
        <f>TEXT(bd_Main[[#This Row],[Data]],"ddd")</f>
        <v>qui</v>
      </c>
      <c r="N452" s="15" t="str">
        <f>TEXT(bd_Main[[#This Row],[Data]],"MMM")</f>
        <v>fev</v>
      </c>
      <c r="O452" s="15" t="str">
        <f>TEXT(bd_Main[[#This Row],[Data]],"AAAA")</f>
        <v>2022</v>
      </c>
    </row>
    <row r="453" spans="1:15" x14ac:dyDescent="0.25">
      <c r="A453" s="7">
        <f t="shared" si="7"/>
        <v>452</v>
      </c>
      <c r="B453" s="2">
        <v>44603</v>
      </c>
      <c r="C453" s="3" t="s">
        <v>95</v>
      </c>
      <c r="D453" s="3" t="s">
        <v>74</v>
      </c>
      <c r="E453" s="3" t="s">
        <v>10</v>
      </c>
      <c r="F453" s="3" t="s">
        <v>82</v>
      </c>
      <c r="G453" s="3">
        <v>0</v>
      </c>
      <c r="H453" s="3" t="s">
        <v>18</v>
      </c>
      <c r="I453" s="3" t="s">
        <v>61</v>
      </c>
      <c r="J453" s="3" t="s">
        <v>71</v>
      </c>
      <c r="K453" s="3" t="s">
        <v>22</v>
      </c>
      <c r="L453" s="3">
        <v>0</v>
      </c>
      <c r="M453" s="15" t="str">
        <f>TEXT(bd_Main[[#This Row],[Data]],"ddd")</f>
        <v>sex</v>
      </c>
      <c r="N453" s="15" t="str">
        <f>TEXT(bd_Main[[#This Row],[Data]],"MMM")</f>
        <v>fev</v>
      </c>
      <c r="O453" s="15" t="str">
        <f>TEXT(bd_Main[[#This Row],[Data]],"AAAA")</f>
        <v>2022</v>
      </c>
    </row>
    <row r="454" spans="1:15" x14ac:dyDescent="0.25">
      <c r="A454" s="7">
        <f t="shared" si="7"/>
        <v>453</v>
      </c>
      <c r="B454" s="2">
        <v>44606</v>
      </c>
      <c r="C454" s="3" t="s">
        <v>92</v>
      </c>
      <c r="D454" s="3" t="s">
        <v>74</v>
      </c>
      <c r="E454" s="3" t="s">
        <v>14</v>
      </c>
      <c r="F454" s="3" t="s">
        <v>87</v>
      </c>
      <c r="G454" s="3">
        <v>0</v>
      </c>
      <c r="H454" s="3" t="s">
        <v>29</v>
      </c>
      <c r="I454" s="3" t="s">
        <v>63</v>
      </c>
      <c r="J454" s="3" t="s">
        <v>71</v>
      </c>
      <c r="K454" s="3" t="s">
        <v>16</v>
      </c>
      <c r="L454" s="3">
        <v>330</v>
      </c>
      <c r="M454" s="15" t="str">
        <f>TEXT(bd_Main[[#This Row],[Data]],"ddd")</f>
        <v>seg</v>
      </c>
      <c r="N454" s="15" t="str">
        <f>TEXT(bd_Main[[#This Row],[Data]],"MMM")</f>
        <v>fev</v>
      </c>
      <c r="O454" s="15" t="str">
        <f>TEXT(bd_Main[[#This Row],[Data]],"AAAA")</f>
        <v>2022</v>
      </c>
    </row>
    <row r="455" spans="1:15" x14ac:dyDescent="0.25">
      <c r="A455" s="7">
        <f t="shared" si="7"/>
        <v>454</v>
      </c>
      <c r="B455" s="2">
        <v>44606</v>
      </c>
      <c r="C455" s="3" t="s">
        <v>92</v>
      </c>
      <c r="D455" s="3" t="s">
        <v>74</v>
      </c>
      <c r="E455" s="3" t="s">
        <v>20</v>
      </c>
      <c r="F455" s="3" t="s">
        <v>80</v>
      </c>
      <c r="G455" s="3">
        <v>4.5</v>
      </c>
      <c r="H455" s="3" t="s">
        <v>30</v>
      </c>
      <c r="I455" s="3" t="s">
        <v>62</v>
      </c>
      <c r="J455" s="3" t="s">
        <v>69</v>
      </c>
      <c r="K455" s="3" t="s">
        <v>12</v>
      </c>
      <c r="L455" s="3">
        <v>855</v>
      </c>
      <c r="M455" s="15" t="str">
        <f>TEXT(bd_Main[[#This Row],[Data]],"ddd")</f>
        <v>seg</v>
      </c>
      <c r="N455" s="15" t="str">
        <f>TEXT(bd_Main[[#This Row],[Data]],"MMM")</f>
        <v>fev</v>
      </c>
      <c r="O455" s="15" t="str">
        <f>TEXT(bd_Main[[#This Row],[Data]],"AAAA")</f>
        <v>2022</v>
      </c>
    </row>
    <row r="456" spans="1:15" x14ac:dyDescent="0.25">
      <c r="A456" s="7">
        <f t="shared" si="7"/>
        <v>455</v>
      </c>
      <c r="B456" s="2">
        <v>44607</v>
      </c>
      <c r="C456" s="3" t="s">
        <v>96</v>
      </c>
      <c r="D456" s="3" t="s">
        <v>74</v>
      </c>
      <c r="E456" s="3" t="s">
        <v>14</v>
      </c>
      <c r="F456" s="3" t="s">
        <v>84</v>
      </c>
      <c r="G456" s="3">
        <v>3.5</v>
      </c>
      <c r="H456" s="3" t="s">
        <v>11</v>
      </c>
      <c r="I456" s="3" t="s">
        <v>62</v>
      </c>
      <c r="J456" s="3" t="s">
        <v>71</v>
      </c>
      <c r="K456" s="3" t="s">
        <v>12</v>
      </c>
      <c r="L456" s="3">
        <v>3824</v>
      </c>
      <c r="M456" s="15" t="str">
        <f>TEXT(bd_Main[[#This Row],[Data]],"ddd")</f>
        <v>ter</v>
      </c>
      <c r="N456" s="15" t="str">
        <f>TEXT(bd_Main[[#This Row],[Data]],"MMM")</f>
        <v>fev</v>
      </c>
      <c r="O456" s="15" t="str">
        <f>TEXT(bd_Main[[#This Row],[Data]],"AAAA")</f>
        <v>2022</v>
      </c>
    </row>
    <row r="457" spans="1:15" x14ac:dyDescent="0.25">
      <c r="A457" s="7">
        <f t="shared" si="7"/>
        <v>456</v>
      </c>
      <c r="B457" s="2">
        <v>44614</v>
      </c>
      <c r="C457" s="3" t="s">
        <v>92</v>
      </c>
      <c r="D457" s="3" t="s">
        <v>74</v>
      </c>
      <c r="E457" s="3" t="s">
        <v>10</v>
      </c>
      <c r="F457" s="3" t="s">
        <v>82</v>
      </c>
      <c r="G457" s="3">
        <v>0</v>
      </c>
      <c r="H457" s="3" t="s">
        <v>15</v>
      </c>
      <c r="I457" s="3" t="s">
        <v>64</v>
      </c>
      <c r="J457" s="3" t="s">
        <v>71</v>
      </c>
      <c r="K457" s="3" t="s">
        <v>27</v>
      </c>
      <c r="L457" s="3">
        <v>3419</v>
      </c>
      <c r="M457" s="15" t="str">
        <f>TEXT(bd_Main[[#This Row],[Data]],"ddd")</f>
        <v>ter</v>
      </c>
      <c r="N457" s="15" t="str">
        <f>TEXT(bd_Main[[#This Row],[Data]],"MMM")</f>
        <v>fev</v>
      </c>
      <c r="O457" s="15" t="str">
        <f>TEXT(bd_Main[[#This Row],[Data]],"AAAA")</f>
        <v>2022</v>
      </c>
    </row>
    <row r="458" spans="1:15" x14ac:dyDescent="0.25">
      <c r="A458" s="7">
        <f t="shared" si="7"/>
        <v>457</v>
      </c>
      <c r="B458" s="2">
        <v>44615</v>
      </c>
      <c r="C458" s="3" t="s">
        <v>94</v>
      </c>
      <c r="D458" s="3" t="s">
        <v>75</v>
      </c>
      <c r="E458" s="3" t="s">
        <v>20</v>
      </c>
      <c r="F458" s="3" t="s">
        <v>86</v>
      </c>
      <c r="G458" s="3">
        <v>4</v>
      </c>
      <c r="H458" s="3" t="s">
        <v>11</v>
      </c>
      <c r="I458" s="3" t="s">
        <v>62</v>
      </c>
      <c r="J458" s="3" t="s">
        <v>69</v>
      </c>
      <c r="K458" s="3" t="s">
        <v>23</v>
      </c>
      <c r="L458" s="3">
        <v>1594</v>
      </c>
      <c r="M458" s="15" t="str">
        <f>TEXT(bd_Main[[#This Row],[Data]],"ddd")</f>
        <v>qua</v>
      </c>
      <c r="N458" s="15" t="str">
        <f>TEXT(bd_Main[[#This Row],[Data]],"MMM")</f>
        <v>fev</v>
      </c>
      <c r="O458" s="15" t="str">
        <f>TEXT(bd_Main[[#This Row],[Data]],"AAAA")</f>
        <v>2022</v>
      </c>
    </row>
    <row r="459" spans="1:15" x14ac:dyDescent="0.25">
      <c r="A459" s="7">
        <f t="shared" si="7"/>
        <v>458</v>
      </c>
      <c r="B459" s="2">
        <v>44616</v>
      </c>
      <c r="C459" s="3" t="s">
        <v>95</v>
      </c>
      <c r="D459" s="3" t="s">
        <v>74</v>
      </c>
      <c r="E459" s="3" t="s">
        <v>14</v>
      </c>
      <c r="F459" s="3" t="s">
        <v>81</v>
      </c>
      <c r="G459" s="3">
        <v>4.5</v>
      </c>
      <c r="H459" s="3" t="s">
        <v>24</v>
      </c>
      <c r="I459" s="3" t="s">
        <v>62</v>
      </c>
      <c r="J459" s="3" t="s">
        <v>71</v>
      </c>
      <c r="K459" s="3" t="s">
        <v>31</v>
      </c>
      <c r="L459" s="3">
        <v>585</v>
      </c>
      <c r="M459" s="15" t="str">
        <f>TEXT(bd_Main[[#This Row],[Data]],"ddd")</f>
        <v>qui</v>
      </c>
      <c r="N459" s="15" t="str">
        <f>TEXT(bd_Main[[#This Row],[Data]],"MMM")</f>
        <v>fev</v>
      </c>
      <c r="O459" s="15" t="str">
        <f>TEXT(bd_Main[[#This Row],[Data]],"AAAA")</f>
        <v>2022</v>
      </c>
    </row>
    <row r="460" spans="1:15" x14ac:dyDescent="0.25">
      <c r="A460" s="7">
        <f t="shared" si="7"/>
        <v>459</v>
      </c>
      <c r="B460" s="2">
        <v>44616</v>
      </c>
      <c r="C460" s="3" t="s">
        <v>96</v>
      </c>
      <c r="D460" s="3" t="s">
        <v>74</v>
      </c>
      <c r="E460" s="3" t="s">
        <v>14</v>
      </c>
      <c r="F460" s="3" t="s">
        <v>79</v>
      </c>
      <c r="G460" s="3">
        <v>0</v>
      </c>
      <c r="H460" s="3" t="s">
        <v>29</v>
      </c>
      <c r="I460" s="3" t="s">
        <v>61</v>
      </c>
      <c r="J460" s="3" t="s">
        <v>71</v>
      </c>
      <c r="K460" s="3" t="s">
        <v>19</v>
      </c>
      <c r="L460" s="3">
        <v>0</v>
      </c>
      <c r="M460" s="15" t="str">
        <f>TEXT(bd_Main[[#This Row],[Data]],"ddd")</f>
        <v>qui</v>
      </c>
      <c r="N460" s="15" t="str">
        <f>TEXT(bd_Main[[#This Row],[Data]],"MMM")</f>
        <v>fev</v>
      </c>
      <c r="O460" s="15" t="str">
        <f>TEXT(bd_Main[[#This Row],[Data]],"AAAA")</f>
        <v>2022</v>
      </c>
    </row>
    <row r="461" spans="1:15" x14ac:dyDescent="0.25">
      <c r="A461" s="7">
        <f t="shared" si="7"/>
        <v>460</v>
      </c>
      <c r="B461" s="2">
        <v>44618</v>
      </c>
      <c r="C461" s="3" t="s">
        <v>92</v>
      </c>
      <c r="D461" s="3" t="s">
        <v>75</v>
      </c>
      <c r="E461" s="3" t="s">
        <v>10</v>
      </c>
      <c r="F461" s="3" t="s">
        <v>85</v>
      </c>
      <c r="G461" s="3">
        <v>0</v>
      </c>
      <c r="H461" s="3" t="s">
        <v>21</v>
      </c>
      <c r="I461" s="3" t="s">
        <v>64</v>
      </c>
      <c r="J461" s="3" t="s">
        <v>71</v>
      </c>
      <c r="K461" s="3" t="s">
        <v>23</v>
      </c>
      <c r="L461" s="3">
        <v>2793</v>
      </c>
      <c r="M461" s="15" t="str">
        <f>TEXT(bd_Main[[#This Row],[Data]],"ddd")</f>
        <v>sáb</v>
      </c>
      <c r="N461" s="15" t="str">
        <f>TEXT(bd_Main[[#This Row],[Data]],"MMM")</f>
        <v>fev</v>
      </c>
      <c r="O461" s="15" t="str">
        <f>TEXT(bd_Main[[#This Row],[Data]],"AAAA")</f>
        <v>2022</v>
      </c>
    </row>
    <row r="462" spans="1:15" x14ac:dyDescent="0.25">
      <c r="A462" s="7">
        <f t="shared" si="7"/>
        <v>461</v>
      </c>
      <c r="B462" s="2">
        <v>44619</v>
      </c>
      <c r="C462" s="3" t="s">
        <v>92</v>
      </c>
      <c r="D462" s="3" t="s">
        <v>74</v>
      </c>
      <c r="E462" s="3" t="s">
        <v>14</v>
      </c>
      <c r="F462" s="3" t="s">
        <v>87</v>
      </c>
      <c r="G462" s="3">
        <v>0</v>
      </c>
      <c r="H462" s="3" t="s">
        <v>32</v>
      </c>
      <c r="I462" s="3" t="s">
        <v>63</v>
      </c>
      <c r="J462" s="3" t="s">
        <v>71</v>
      </c>
      <c r="K462" s="3" t="s">
        <v>27</v>
      </c>
      <c r="L462" s="3">
        <v>326</v>
      </c>
      <c r="M462" s="15" t="str">
        <f>TEXT(bd_Main[[#This Row],[Data]],"ddd")</f>
        <v>dom</v>
      </c>
      <c r="N462" s="15" t="str">
        <f>TEXT(bd_Main[[#This Row],[Data]],"MMM")</f>
        <v>fev</v>
      </c>
      <c r="O462" s="15" t="str">
        <f>TEXT(bd_Main[[#This Row],[Data]],"AAAA")</f>
        <v>2022</v>
      </c>
    </row>
    <row r="463" spans="1:15" x14ac:dyDescent="0.25">
      <c r="A463" s="7">
        <f t="shared" si="7"/>
        <v>462</v>
      </c>
      <c r="B463" s="2">
        <v>44620</v>
      </c>
      <c r="C463" s="3" t="s">
        <v>94</v>
      </c>
      <c r="D463" s="3" t="s">
        <v>74</v>
      </c>
      <c r="E463" s="3" t="s">
        <v>14</v>
      </c>
      <c r="F463" s="3" t="s">
        <v>80</v>
      </c>
      <c r="G463" s="3">
        <v>0</v>
      </c>
      <c r="H463" s="3" t="s">
        <v>30</v>
      </c>
      <c r="I463" s="3" t="s">
        <v>63</v>
      </c>
      <c r="J463" s="3" t="s">
        <v>71</v>
      </c>
      <c r="K463" s="3" t="s">
        <v>22</v>
      </c>
      <c r="L463" s="3">
        <v>314</v>
      </c>
      <c r="M463" s="15" t="str">
        <f>TEXT(bd_Main[[#This Row],[Data]],"ddd")</f>
        <v>seg</v>
      </c>
      <c r="N463" s="15" t="str">
        <f>TEXT(bd_Main[[#This Row],[Data]],"MMM")</f>
        <v>fev</v>
      </c>
      <c r="O463" s="15" t="str">
        <f>TEXT(bd_Main[[#This Row],[Data]],"AAAA")</f>
        <v>2022</v>
      </c>
    </row>
    <row r="464" spans="1:15" x14ac:dyDescent="0.25">
      <c r="A464" s="7">
        <f t="shared" si="7"/>
        <v>463</v>
      </c>
      <c r="B464" s="2">
        <v>44623</v>
      </c>
      <c r="C464" s="3" t="s">
        <v>91</v>
      </c>
      <c r="D464" s="3" t="s">
        <v>74</v>
      </c>
      <c r="E464" s="3" t="s">
        <v>14</v>
      </c>
      <c r="F464" s="3" t="s">
        <v>82</v>
      </c>
      <c r="G464" s="3">
        <v>3.5</v>
      </c>
      <c r="H464" s="3" t="s">
        <v>29</v>
      </c>
      <c r="I464" s="3" t="s">
        <v>62</v>
      </c>
      <c r="J464" s="3" t="s">
        <v>69</v>
      </c>
      <c r="K464" s="3" t="s">
        <v>28</v>
      </c>
      <c r="L464" s="3">
        <v>1769</v>
      </c>
      <c r="M464" s="15" t="str">
        <f>TEXT(bd_Main[[#This Row],[Data]],"ddd")</f>
        <v>qui</v>
      </c>
      <c r="N464" s="15" t="str">
        <f>TEXT(bd_Main[[#This Row],[Data]],"MMM")</f>
        <v>mar</v>
      </c>
      <c r="O464" s="15" t="str">
        <f>TEXT(bd_Main[[#This Row],[Data]],"AAAA")</f>
        <v>2022</v>
      </c>
    </row>
    <row r="465" spans="1:15" x14ac:dyDescent="0.25">
      <c r="A465" s="7">
        <f t="shared" si="7"/>
        <v>464</v>
      </c>
      <c r="B465" s="2">
        <v>44632</v>
      </c>
      <c r="C465" s="3" t="s">
        <v>95</v>
      </c>
      <c r="D465" s="3" t="s">
        <v>74</v>
      </c>
      <c r="E465" s="3" t="s">
        <v>20</v>
      </c>
      <c r="F465" s="3" t="s">
        <v>82</v>
      </c>
      <c r="G465" s="3">
        <v>0</v>
      </c>
      <c r="H465" s="3" t="s">
        <v>32</v>
      </c>
      <c r="I465" s="3" t="s">
        <v>61</v>
      </c>
      <c r="J465" s="3" t="s">
        <v>69</v>
      </c>
      <c r="K465" s="3" t="s">
        <v>22</v>
      </c>
      <c r="L465" s="3">
        <v>0</v>
      </c>
      <c r="M465" s="15" t="str">
        <f>TEXT(bd_Main[[#This Row],[Data]],"ddd")</f>
        <v>sáb</v>
      </c>
      <c r="N465" s="15" t="str">
        <f>TEXT(bd_Main[[#This Row],[Data]],"MMM")</f>
        <v>mar</v>
      </c>
      <c r="O465" s="15" t="str">
        <f>TEXT(bd_Main[[#This Row],[Data]],"AAAA")</f>
        <v>2022</v>
      </c>
    </row>
    <row r="466" spans="1:15" x14ac:dyDescent="0.25">
      <c r="A466" s="7">
        <f t="shared" si="7"/>
        <v>465</v>
      </c>
      <c r="B466" s="2">
        <v>44632</v>
      </c>
      <c r="C466" s="3" t="s">
        <v>93</v>
      </c>
      <c r="D466" s="3" t="s">
        <v>74</v>
      </c>
      <c r="E466" s="3" t="s">
        <v>17</v>
      </c>
      <c r="F466" s="3" t="s">
        <v>83</v>
      </c>
      <c r="G466" s="3">
        <v>4</v>
      </c>
      <c r="H466" s="3" t="s">
        <v>15</v>
      </c>
      <c r="I466" s="3" t="s">
        <v>62</v>
      </c>
      <c r="J466" s="3" t="s">
        <v>69</v>
      </c>
      <c r="K466" s="3" t="s">
        <v>27</v>
      </c>
      <c r="L466" s="3">
        <v>3498</v>
      </c>
      <c r="M466" s="15" t="str">
        <f>TEXT(bd_Main[[#This Row],[Data]],"ddd")</f>
        <v>sáb</v>
      </c>
      <c r="N466" s="15" t="str">
        <f>TEXT(bd_Main[[#This Row],[Data]],"MMM")</f>
        <v>mar</v>
      </c>
      <c r="O466" s="15" t="str">
        <f>TEXT(bd_Main[[#This Row],[Data]],"AAAA")</f>
        <v>2022</v>
      </c>
    </row>
    <row r="467" spans="1:15" x14ac:dyDescent="0.25">
      <c r="A467" s="7">
        <f t="shared" si="7"/>
        <v>466</v>
      </c>
      <c r="B467" s="2">
        <v>44635</v>
      </c>
      <c r="C467" s="3" t="s">
        <v>90</v>
      </c>
      <c r="D467" s="3" t="s">
        <v>74</v>
      </c>
      <c r="E467" s="3" t="s">
        <v>10</v>
      </c>
      <c r="F467" s="3" t="s">
        <v>86</v>
      </c>
      <c r="G467" s="3">
        <v>1.5</v>
      </c>
      <c r="H467" s="3" t="s">
        <v>29</v>
      </c>
      <c r="I467" s="3" t="s">
        <v>62</v>
      </c>
      <c r="J467" s="3" t="s">
        <v>70</v>
      </c>
      <c r="K467" s="3" t="s">
        <v>26</v>
      </c>
      <c r="L467" s="3">
        <v>2336</v>
      </c>
      <c r="M467" s="15" t="str">
        <f>TEXT(bd_Main[[#This Row],[Data]],"ddd")</f>
        <v>ter</v>
      </c>
      <c r="N467" s="15" t="str">
        <f>TEXT(bd_Main[[#This Row],[Data]],"MMM")</f>
        <v>mar</v>
      </c>
      <c r="O467" s="15" t="str">
        <f>TEXT(bd_Main[[#This Row],[Data]],"AAAA")</f>
        <v>2022</v>
      </c>
    </row>
    <row r="468" spans="1:15" x14ac:dyDescent="0.25">
      <c r="A468" s="7">
        <f t="shared" si="7"/>
        <v>467</v>
      </c>
      <c r="B468" s="2">
        <v>44637</v>
      </c>
      <c r="C468" s="3" t="s">
        <v>96</v>
      </c>
      <c r="D468" s="3" t="s">
        <v>74</v>
      </c>
      <c r="E468" s="3" t="s">
        <v>20</v>
      </c>
      <c r="F468" s="3" t="s">
        <v>85</v>
      </c>
      <c r="G468" s="3">
        <v>0</v>
      </c>
      <c r="H468" s="3" t="s">
        <v>32</v>
      </c>
      <c r="I468" s="3" t="s">
        <v>63</v>
      </c>
      <c r="J468" s="3" t="s">
        <v>71</v>
      </c>
      <c r="K468" s="3" t="s">
        <v>12</v>
      </c>
      <c r="L468" s="3">
        <v>114</v>
      </c>
      <c r="M468" s="15" t="str">
        <f>TEXT(bd_Main[[#This Row],[Data]],"ddd")</f>
        <v>qui</v>
      </c>
      <c r="N468" s="15" t="str">
        <f>TEXT(bd_Main[[#This Row],[Data]],"MMM")</f>
        <v>mar</v>
      </c>
      <c r="O468" s="15" t="str">
        <f>TEXT(bd_Main[[#This Row],[Data]],"AAAA")</f>
        <v>2022</v>
      </c>
    </row>
    <row r="469" spans="1:15" x14ac:dyDescent="0.25">
      <c r="A469" s="7">
        <f t="shared" si="7"/>
        <v>468</v>
      </c>
      <c r="B469" s="2">
        <v>44642</v>
      </c>
      <c r="C469" s="3" t="s">
        <v>94</v>
      </c>
      <c r="D469" s="3" t="s">
        <v>74</v>
      </c>
      <c r="E469" s="3" t="s">
        <v>17</v>
      </c>
      <c r="F469" s="3" t="s">
        <v>85</v>
      </c>
      <c r="G469" s="3">
        <v>0</v>
      </c>
      <c r="H469" s="3" t="s">
        <v>15</v>
      </c>
      <c r="I469" s="3" t="s">
        <v>63</v>
      </c>
      <c r="J469" s="3" t="s">
        <v>69</v>
      </c>
      <c r="K469" s="3" t="s">
        <v>28</v>
      </c>
      <c r="L469" s="3">
        <v>174</v>
      </c>
      <c r="M469" s="15" t="str">
        <f>TEXT(bd_Main[[#This Row],[Data]],"ddd")</f>
        <v>ter</v>
      </c>
      <c r="N469" s="15" t="str">
        <f>TEXT(bd_Main[[#This Row],[Data]],"MMM")</f>
        <v>mar</v>
      </c>
      <c r="O469" s="15" t="str">
        <f>TEXT(bd_Main[[#This Row],[Data]],"AAAA")</f>
        <v>2022</v>
      </c>
    </row>
    <row r="470" spans="1:15" x14ac:dyDescent="0.25">
      <c r="A470" s="7">
        <f t="shared" si="7"/>
        <v>469</v>
      </c>
      <c r="B470" s="2">
        <v>44642</v>
      </c>
      <c r="C470" s="3" t="s">
        <v>94</v>
      </c>
      <c r="D470" s="3" t="s">
        <v>74</v>
      </c>
      <c r="E470" s="3" t="s">
        <v>10</v>
      </c>
      <c r="F470" s="3" t="s">
        <v>84</v>
      </c>
      <c r="G470" s="3">
        <v>0</v>
      </c>
      <c r="H470" s="3" t="s">
        <v>24</v>
      </c>
      <c r="I470" s="3" t="s">
        <v>64</v>
      </c>
      <c r="J470" s="3" t="s">
        <v>71</v>
      </c>
      <c r="K470" s="3" t="s">
        <v>28</v>
      </c>
      <c r="L470" s="3">
        <v>3379</v>
      </c>
      <c r="M470" s="15" t="str">
        <f>TEXT(bd_Main[[#This Row],[Data]],"ddd")</f>
        <v>ter</v>
      </c>
      <c r="N470" s="15" t="str">
        <f>TEXT(bd_Main[[#This Row],[Data]],"MMM")</f>
        <v>mar</v>
      </c>
      <c r="O470" s="15" t="str">
        <f>TEXT(bd_Main[[#This Row],[Data]],"AAAA")</f>
        <v>2022</v>
      </c>
    </row>
    <row r="471" spans="1:15" x14ac:dyDescent="0.25">
      <c r="A471" s="7">
        <f t="shared" si="7"/>
        <v>470</v>
      </c>
      <c r="B471" s="2">
        <v>44645</v>
      </c>
      <c r="C471" s="3" t="s">
        <v>13</v>
      </c>
      <c r="D471" s="3" t="s">
        <v>74</v>
      </c>
      <c r="E471" s="3" t="s">
        <v>10</v>
      </c>
      <c r="F471" s="3" t="s">
        <v>84</v>
      </c>
      <c r="G471" s="3">
        <v>0.5</v>
      </c>
      <c r="H471" s="3" t="s">
        <v>21</v>
      </c>
      <c r="I471" s="3" t="s">
        <v>62</v>
      </c>
      <c r="J471" s="3" t="s">
        <v>69</v>
      </c>
      <c r="K471" s="3" t="s">
        <v>26</v>
      </c>
      <c r="L471" s="3">
        <v>4145</v>
      </c>
      <c r="M471" s="15" t="str">
        <f>TEXT(bd_Main[[#This Row],[Data]],"ddd")</f>
        <v>sex</v>
      </c>
      <c r="N471" s="15" t="str">
        <f>TEXT(bd_Main[[#This Row],[Data]],"MMM")</f>
        <v>mar</v>
      </c>
      <c r="O471" s="15" t="str">
        <f>TEXT(bd_Main[[#This Row],[Data]],"AAAA")</f>
        <v>2022</v>
      </c>
    </row>
    <row r="472" spans="1:15" x14ac:dyDescent="0.25">
      <c r="A472" s="7">
        <f t="shared" si="7"/>
        <v>471</v>
      </c>
      <c r="B472" s="2">
        <v>44646</v>
      </c>
      <c r="C472" s="3" t="s">
        <v>94</v>
      </c>
      <c r="D472" s="3" t="s">
        <v>74</v>
      </c>
      <c r="E472" s="3" t="s">
        <v>20</v>
      </c>
      <c r="F472" s="3" t="s">
        <v>84</v>
      </c>
      <c r="G472" s="3">
        <v>0</v>
      </c>
      <c r="H472" s="3" t="s">
        <v>29</v>
      </c>
      <c r="I472" s="3" t="s">
        <v>64</v>
      </c>
      <c r="J472" s="3" t="s">
        <v>70</v>
      </c>
      <c r="K472" s="3" t="s">
        <v>27</v>
      </c>
      <c r="L472" s="3">
        <v>4150</v>
      </c>
      <c r="M472" s="15" t="str">
        <f>TEXT(bd_Main[[#This Row],[Data]],"ddd")</f>
        <v>sáb</v>
      </c>
      <c r="N472" s="15" t="str">
        <f>TEXT(bd_Main[[#This Row],[Data]],"MMM")</f>
        <v>mar</v>
      </c>
      <c r="O472" s="15" t="str">
        <f>TEXT(bd_Main[[#This Row],[Data]],"AAAA")</f>
        <v>2022</v>
      </c>
    </row>
    <row r="473" spans="1:15" x14ac:dyDescent="0.25">
      <c r="A473" s="7">
        <f t="shared" si="7"/>
        <v>472</v>
      </c>
      <c r="B473" s="2">
        <v>44648</v>
      </c>
      <c r="C473" s="3" t="s">
        <v>94</v>
      </c>
      <c r="D473" s="3" t="s">
        <v>74</v>
      </c>
      <c r="E473" s="3" t="s">
        <v>20</v>
      </c>
      <c r="F473" s="3" t="s">
        <v>81</v>
      </c>
      <c r="G473" s="3">
        <v>0</v>
      </c>
      <c r="H473" s="3" t="s">
        <v>30</v>
      </c>
      <c r="I473" s="3" t="s">
        <v>63</v>
      </c>
      <c r="J473" s="3" t="s">
        <v>71</v>
      </c>
      <c r="K473" s="3" t="s">
        <v>16</v>
      </c>
      <c r="L473" s="3">
        <v>259</v>
      </c>
      <c r="M473" s="15" t="str">
        <f>TEXT(bd_Main[[#This Row],[Data]],"ddd")</f>
        <v>seg</v>
      </c>
      <c r="N473" s="15" t="str">
        <f>TEXT(bd_Main[[#This Row],[Data]],"MMM")</f>
        <v>mar</v>
      </c>
      <c r="O473" s="15" t="str">
        <f>TEXT(bd_Main[[#This Row],[Data]],"AAAA")</f>
        <v>2022</v>
      </c>
    </row>
    <row r="474" spans="1:15" x14ac:dyDescent="0.25">
      <c r="A474" s="7">
        <f t="shared" si="7"/>
        <v>473</v>
      </c>
      <c r="B474" s="2">
        <v>44652</v>
      </c>
      <c r="C474" s="3" t="s">
        <v>94</v>
      </c>
      <c r="D474" s="3" t="s">
        <v>74</v>
      </c>
      <c r="E474" s="3" t="s">
        <v>14</v>
      </c>
      <c r="F474" s="3" t="s">
        <v>81</v>
      </c>
      <c r="G474" s="3">
        <v>3.5</v>
      </c>
      <c r="H474" s="3" t="s">
        <v>11</v>
      </c>
      <c r="I474" s="3" t="s">
        <v>62</v>
      </c>
      <c r="J474" s="3" t="s">
        <v>70</v>
      </c>
      <c r="K474" s="3" t="s">
        <v>27</v>
      </c>
      <c r="L474" s="3">
        <v>3134</v>
      </c>
      <c r="M474" s="15" t="str">
        <f>TEXT(bd_Main[[#This Row],[Data]],"ddd")</f>
        <v>sex</v>
      </c>
      <c r="N474" s="15" t="str">
        <f>TEXT(bd_Main[[#This Row],[Data]],"MMM")</f>
        <v>abr</v>
      </c>
      <c r="O474" s="15" t="str">
        <f>TEXT(bd_Main[[#This Row],[Data]],"AAAA")</f>
        <v>2022</v>
      </c>
    </row>
    <row r="475" spans="1:15" x14ac:dyDescent="0.25">
      <c r="A475" s="7">
        <f t="shared" si="7"/>
        <v>474</v>
      </c>
      <c r="B475" s="2">
        <v>44652</v>
      </c>
      <c r="C475" s="3" t="s">
        <v>94</v>
      </c>
      <c r="D475" s="3" t="s">
        <v>74</v>
      </c>
      <c r="E475" s="3" t="s">
        <v>17</v>
      </c>
      <c r="F475" s="3" t="s">
        <v>83</v>
      </c>
      <c r="G475" s="3">
        <v>0</v>
      </c>
      <c r="H475" s="3" t="s">
        <v>24</v>
      </c>
      <c r="I475" s="3" t="s">
        <v>64</v>
      </c>
      <c r="J475" s="3" t="s">
        <v>71</v>
      </c>
      <c r="K475" s="3" t="s">
        <v>12</v>
      </c>
      <c r="L475" s="3">
        <v>4130</v>
      </c>
      <c r="M475" s="15" t="str">
        <f>TEXT(bd_Main[[#This Row],[Data]],"ddd")</f>
        <v>sex</v>
      </c>
      <c r="N475" s="15" t="str">
        <f>TEXT(bd_Main[[#This Row],[Data]],"MMM")</f>
        <v>abr</v>
      </c>
      <c r="O475" s="15" t="str">
        <f>TEXT(bd_Main[[#This Row],[Data]],"AAAA")</f>
        <v>2022</v>
      </c>
    </row>
    <row r="476" spans="1:15" x14ac:dyDescent="0.25">
      <c r="A476" s="7">
        <f t="shared" si="7"/>
        <v>475</v>
      </c>
      <c r="B476" s="2">
        <v>44654</v>
      </c>
      <c r="C476" s="3" t="s">
        <v>90</v>
      </c>
      <c r="D476" s="3" t="s">
        <v>74</v>
      </c>
      <c r="E476" s="3" t="s">
        <v>10</v>
      </c>
      <c r="F476" s="3" t="s">
        <v>83</v>
      </c>
      <c r="G476" s="3">
        <v>3.5</v>
      </c>
      <c r="H476" s="3" t="s">
        <v>30</v>
      </c>
      <c r="I476" s="3" t="s">
        <v>62</v>
      </c>
      <c r="J476" s="3" t="s">
        <v>71</v>
      </c>
      <c r="K476" s="3" t="s">
        <v>22</v>
      </c>
      <c r="L476" s="3">
        <v>1424</v>
      </c>
      <c r="M476" s="15" t="str">
        <f>TEXT(bd_Main[[#This Row],[Data]],"ddd")</f>
        <v>dom</v>
      </c>
      <c r="N476" s="15" t="str">
        <f>TEXT(bd_Main[[#This Row],[Data]],"MMM")</f>
        <v>abr</v>
      </c>
      <c r="O476" s="15" t="str">
        <f>TEXT(bd_Main[[#This Row],[Data]],"AAAA")</f>
        <v>2022</v>
      </c>
    </row>
    <row r="477" spans="1:15" x14ac:dyDescent="0.25">
      <c r="A477" s="7">
        <f t="shared" si="7"/>
        <v>476</v>
      </c>
      <c r="B477" s="2">
        <v>44655</v>
      </c>
      <c r="C477" s="3" t="s">
        <v>96</v>
      </c>
      <c r="D477" s="3" t="s">
        <v>74</v>
      </c>
      <c r="E477" s="3" t="s">
        <v>17</v>
      </c>
      <c r="F477" s="3" t="s">
        <v>87</v>
      </c>
      <c r="G477" s="3">
        <v>2</v>
      </c>
      <c r="H477" s="3" t="s">
        <v>25</v>
      </c>
      <c r="I477" s="3" t="s">
        <v>62</v>
      </c>
      <c r="J477" s="3" t="s">
        <v>70</v>
      </c>
      <c r="K477" s="3" t="s">
        <v>26</v>
      </c>
      <c r="L477" s="3">
        <v>4908</v>
      </c>
      <c r="M477" s="15" t="str">
        <f>TEXT(bd_Main[[#This Row],[Data]],"ddd")</f>
        <v>seg</v>
      </c>
      <c r="N477" s="15" t="str">
        <f>TEXT(bd_Main[[#This Row],[Data]],"MMM")</f>
        <v>abr</v>
      </c>
      <c r="O477" s="15" t="str">
        <f>TEXT(bd_Main[[#This Row],[Data]],"AAAA")</f>
        <v>2022</v>
      </c>
    </row>
    <row r="478" spans="1:15" x14ac:dyDescent="0.25">
      <c r="A478" s="7">
        <f t="shared" si="7"/>
        <v>477</v>
      </c>
      <c r="B478" s="2">
        <v>44657</v>
      </c>
      <c r="C478" s="3" t="s">
        <v>96</v>
      </c>
      <c r="D478" s="3" t="s">
        <v>74</v>
      </c>
      <c r="E478" s="3" t="s">
        <v>20</v>
      </c>
      <c r="F478" s="3" t="s">
        <v>81</v>
      </c>
      <c r="G478" s="3">
        <v>0</v>
      </c>
      <c r="H478" s="3" t="s">
        <v>30</v>
      </c>
      <c r="I478" s="3" t="s">
        <v>63</v>
      </c>
      <c r="J478" s="3" t="s">
        <v>69</v>
      </c>
      <c r="K478" s="3" t="s">
        <v>28</v>
      </c>
      <c r="L478" s="3">
        <v>162</v>
      </c>
      <c r="M478" s="15" t="str">
        <f>TEXT(bd_Main[[#This Row],[Data]],"ddd")</f>
        <v>qua</v>
      </c>
      <c r="N478" s="15" t="str">
        <f>TEXT(bd_Main[[#This Row],[Data]],"MMM")</f>
        <v>abr</v>
      </c>
      <c r="O478" s="15" t="str">
        <f>TEXT(bd_Main[[#This Row],[Data]],"AAAA")</f>
        <v>2022</v>
      </c>
    </row>
    <row r="479" spans="1:15" x14ac:dyDescent="0.25">
      <c r="A479" s="7">
        <f t="shared" si="7"/>
        <v>478</v>
      </c>
      <c r="B479" s="2">
        <v>44658</v>
      </c>
      <c r="C479" s="3" t="s">
        <v>95</v>
      </c>
      <c r="D479" s="3" t="s">
        <v>74</v>
      </c>
      <c r="E479" s="3" t="s">
        <v>14</v>
      </c>
      <c r="F479" s="3" t="s">
        <v>81</v>
      </c>
      <c r="G479" s="3">
        <v>0</v>
      </c>
      <c r="H479" s="3" t="s">
        <v>25</v>
      </c>
      <c r="I479" s="3" t="s">
        <v>64</v>
      </c>
      <c r="J479" s="3" t="s">
        <v>70</v>
      </c>
      <c r="K479" s="3" t="s">
        <v>28</v>
      </c>
      <c r="L479" s="3">
        <v>4149</v>
      </c>
      <c r="M479" s="15" t="str">
        <f>TEXT(bd_Main[[#This Row],[Data]],"ddd")</f>
        <v>qui</v>
      </c>
      <c r="N479" s="15" t="str">
        <f>TEXT(bd_Main[[#This Row],[Data]],"MMM")</f>
        <v>abr</v>
      </c>
      <c r="O479" s="15" t="str">
        <f>TEXT(bd_Main[[#This Row],[Data]],"AAAA")</f>
        <v>2022</v>
      </c>
    </row>
    <row r="480" spans="1:15" x14ac:dyDescent="0.25">
      <c r="A480" s="7">
        <f t="shared" si="7"/>
        <v>479</v>
      </c>
      <c r="B480" s="2">
        <v>44658</v>
      </c>
      <c r="C480" s="3" t="s">
        <v>90</v>
      </c>
      <c r="D480" s="3" t="s">
        <v>74</v>
      </c>
      <c r="E480" s="3" t="s">
        <v>14</v>
      </c>
      <c r="F480" s="3" t="s">
        <v>83</v>
      </c>
      <c r="G480" s="3">
        <v>0</v>
      </c>
      <c r="H480" s="3" t="s">
        <v>25</v>
      </c>
      <c r="I480" s="3" t="s">
        <v>61</v>
      </c>
      <c r="J480" s="3" t="s">
        <v>71</v>
      </c>
      <c r="K480" s="3" t="s">
        <v>23</v>
      </c>
      <c r="L480" s="3">
        <v>0</v>
      </c>
      <c r="M480" s="15" t="str">
        <f>TEXT(bd_Main[[#This Row],[Data]],"ddd")</f>
        <v>qui</v>
      </c>
      <c r="N480" s="15" t="str">
        <f>TEXT(bd_Main[[#This Row],[Data]],"MMM")</f>
        <v>abr</v>
      </c>
      <c r="O480" s="15" t="str">
        <f>TEXT(bd_Main[[#This Row],[Data]],"AAAA")</f>
        <v>2022</v>
      </c>
    </row>
    <row r="481" spans="1:15" x14ac:dyDescent="0.25">
      <c r="A481" s="7">
        <f t="shared" si="7"/>
        <v>480</v>
      </c>
      <c r="B481" s="2">
        <v>44659</v>
      </c>
      <c r="C481" s="3" t="s">
        <v>95</v>
      </c>
      <c r="D481" s="3" t="s">
        <v>74</v>
      </c>
      <c r="E481" s="3" t="s">
        <v>17</v>
      </c>
      <c r="F481" s="3" t="s">
        <v>87</v>
      </c>
      <c r="G481" s="3">
        <v>0</v>
      </c>
      <c r="H481" s="3" t="s">
        <v>30</v>
      </c>
      <c r="I481" s="3" t="s">
        <v>61</v>
      </c>
      <c r="J481" s="3" t="s">
        <v>69</v>
      </c>
      <c r="K481" s="3" t="s">
        <v>26</v>
      </c>
      <c r="L481" s="3">
        <v>0</v>
      </c>
      <c r="M481" s="15" t="str">
        <f>TEXT(bd_Main[[#This Row],[Data]],"ddd")</f>
        <v>sex</v>
      </c>
      <c r="N481" s="15" t="str">
        <f>TEXT(bd_Main[[#This Row],[Data]],"MMM")</f>
        <v>abr</v>
      </c>
      <c r="O481" s="15" t="str">
        <f>TEXT(bd_Main[[#This Row],[Data]],"AAAA")</f>
        <v>2022</v>
      </c>
    </row>
    <row r="482" spans="1:15" x14ac:dyDescent="0.25">
      <c r="A482" s="7">
        <f t="shared" si="7"/>
        <v>481</v>
      </c>
      <c r="B482" s="2">
        <v>44659</v>
      </c>
      <c r="C482" s="3" t="s">
        <v>95</v>
      </c>
      <c r="D482" s="3" t="s">
        <v>74</v>
      </c>
      <c r="E482" s="3" t="s">
        <v>17</v>
      </c>
      <c r="F482" s="3" t="s">
        <v>84</v>
      </c>
      <c r="G482" s="3">
        <v>0</v>
      </c>
      <c r="H482" s="3" t="s">
        <v>21</v>
      </c>
      <c r="I482" s="3" t="s">
        <v>64</v>
      </c>
      <c r="J482" s="3" t="s">
        <v>69</v>
      </c>
      <c r="K482" s="3" t="s">
        <v>27</v>
      </c>
      <c r="L482" s="3">
        <v>1174</v>
      </c>
      <c r="M482" s="15" t="str">
        <f>TEXT(bd_Main[[#This Row],[Data]],"ddd")</f>
        <v>sex</v>
      </c>
      <c r="N482" s="15" t="str">
        <f>TEXT(bd_Main[[#This Row],[Data]],"MMM")</f>
        <v>abr</v>
      </c>
      <c r="O482" s="15" t="str">
        <f>TEXT(bd_Main[[#This Row],[Data]],"AAAA")</f>
        <v>2022</v>
      </c>
    </row>
    <row r="483" spans="1:15" x14ac:dyDescent="0.25">
      <c r="A483" s="7">
        <f t="shared" si="7"/>
        <v>482</v>
      </c>
      <c r="B483" s="2">
        <v>44663</v>
      </c>
      <c r="C483" s="3" t="s">
        <v>33</v>
      </c>
      <c r="D483" s="3" t="s">
        <v>74</v>
      </c>
      <c r="E483" s="3" t="s">
        <v>10</v>
      </c>
      <c r="F483" s="3" t="s">
        <v>79</v>
      </c>
      <c r="G483" s="3">
        <v>1.5</v>
      </c>
      <c r="H483" s="3" t="s">
        <v>24</v>
      </c>
      <c r="I483" s="3" t="s">
        <v>62</v>
      </c>
      <c r="J483" s="3" t="s">
        <v>69</v>
      </c>
      <c r="K483" s="3" t="s">
        <v>19</v>
      </c>
      <c r="L483" s="3">
        <v>1777</v>
      </c>
      <c r="M483" s="15" t="str">
        <f>TEXT(bd_Main[[#This Row],[Data]],"ddd")</f>
        <v>ter</v>
      </c>
      <c r="N483" s="15" t="str">
        <f>TEXT(bd_Main[[#This Row],[Data]],"MMM")</f>
        <v>abr</v>
      </c>
      <c r="O483" s="15" t="str">
        <f>TEXT(bd_Main[[#This Row],[Data]],"AAAA")</f>
        <v>2022</v>
      </c>
    </row>
    <row r="484" spans="1:15" x14ac:dyDescent="0.25">
      <c r="A484" s="7">
        <f t="shared" si="7"/>
        <v>483</v>
      </c>
      <c r="B484" s="2">
        <v>44668</v>
      </c>
      <c r="C484" s="3" t="s">
        <v>93</v>
      </c>
      <c r="D484" s="3" t="s">
        <v>74</v>
      </c>
      <c r="E484" s="3" t="s">
        <v>10</v>
      </c>
      <c r="F484" s="3" t="s">
        <v>80</v>
      </c>
      <c r="G484" s="3">
        <v>0</v>
      </c>
      <c r="H484" s="3" t="s">
        <v>30</v>
      </c>
      <c r="I484" s="3" t="s">
        <v>63</v>
      </c>
      <c r="J484" s="3" t="s">
        <v>70</v>
      </c>
      <c r="K484" s="3" t="s">
        <v>31</v>
      </c>
      <c r="L484" s="3">
        <v>59</v>
      </c>
      <c r="M484" s="15" t="str">
        <f>TEXT(bd_Main[[#This Row],[Data]],"ddd")</f>
        <v>dom</v>
      </c>
      <c r="N484" s="15" t="str">
        <f>TEXT(bd_Main[[#This Row],[Data]],"MMM")</f>
        <v>abr</v>
      </c>
      <c r="O484" s="15" t="str">
        <f>TEXT(bd_Main[[#This Row],[Data]],"AAAA")</f>
        <v>2022</v>
      </c>
    </row>
    <row r="485" spans="1:15" x14ac:dyDescent="0.25">
      <c r="A485" s="7">
        <f t="shared" si="7"/>
        <v>484</v>
      </c>
      <c r="B485" s="2">
        <v>44671</v>
      </c>
      <c r="C485" s="3" t="s">
        <v>95</v>
      </c>
      <c r="D485" s="3" t="s">
        <v>74</v>
      </c>
      <c r="E485" s="3" t="s">
        <v>14</v>
      </c>
      <c r="F485" s="3" t="s">
        <v>82</v>
      </c>
      <c r="G485" s="3">
        <v>0</v>
      </c>
      <c r="H485" s="3" t="s">
        <v>18</v>
      </c>
      <c r="I485" s="3" t="s">
        <v>61</v>
      </c>
      <c r="J485" s="3" t="s">
        <v>71</v>
      </c>
      <c r="K485" s="3" t="s">
        <v>26</v>
      </c>
      <c r="L485" s="3">
        <v>0</v>
      </c>
      <c r="M485" s="15" t="str">
        <f>TEXT(bd_Main[[#This Row],[Data]],"ddd")</f>
        <v>qua</v>
      </c>
      <c r="N485" s="15" t="str">
        <f>TEXT(bd_Main[[#This Row],[Data]],"MMM")</f>
        <v>abr</v>
      </c>
      <c r="O485" s="15" t="str">
        <f>TEXT(bd_Main[[#This Row],[Data]],"AAAA")</f>
        <v>2022</v>
      </c>
    </row>
    <row r="486" spans="1:15" x14ac:dyDescent="0.25">
      <c r="A486" s="7">
        <f t="shared" si="7"/>
        <v>485</v>
      </c>
      <c r="B486" s="2">
        <v>44675</v>
      </c>
      <c r="C486" s="3" t="s">
        <v>33</v>
      </c>
      <c r="D486" s="3" t="s">
        <v>74</v>
      </c>
      <c r="E486" s="3" t="s">
        <v>10</v>
      </c>
      <c r="F486" s="3" t="s">
        <v>86</v>
      </c>
      <c r="G486" s="3">
        <v>0</v>
      </c>
      <c r="H486" s="3" t="s">
        <v>15</v>
      </c>
      <c r="I486" s="3" t="s">
        <v>64</v>
      </c>
      <c r="J486" s="3" t="s">
        <v>69</v>
      </c>
      <c r="K486" s="3" t="s">
        <v>16</v>
      </c>
      <c r="L486" s="3">
        <v>1848</v>
      </c>
      <c r="M486" s="15" t="str">
        <f>TEXT(bd_Main[[#This Row],[Data]],"ddd")</f>
        <v>dom</v>
      </c>
      <c r="N486" s="15" t="str">
        <f>TEXT(bd_Main[[#This Row],[Data]],"MMM")</f>
        <v>abr</v>
      </c>
      <c r="O486" s="15" t="str">
        <f>TEXT(bd_Main[[#This Row],[Data]],"AAAA")</f>
        <v>2022</v>
      </c>
    </row>
    <row r="487" spans="1:15" x14ac:dyDescent="0.25">
      <c r="A487" s="7">
        <f t="shared" si="7"/>
        <v>486</v>
      </c>
      <c r="B487" s="2">
        <v>44675</v>
      </c>
      <c r="C487" s="3" t="s">
        <v>94</v>
      </c>
      <c r="D487" s="3" t="s">
        <v>74</v>
      </c>
      <c r="E487" s="3" t="s">
        <v>17</v>
      </c>
      <c r="F487" s="3" t="s">
        <v>84</v>
      </c>
      <c r="G487" s="3">
        <v>0</v>
      </c>
      <c r="H487" s="3" t="s">
        <v>11</v>
      </c>
      <c r="I487" s="3" t="s">
        <v>61</v>
      </c>
      <c r="J487" s="3" t="s">
        <v>70</v>
      </c>
      <c r="K487" s="3" t="s">
        <v>27</v>
      </c>
      <c r="L487" s="3">
        <v>0</v>
      </c>
      <c r="M487" s="15" t="str">
        <f>TEXT(bd_Main[[#This Row],[Data]],"ddd")</f>
        <v>dom</v>
      </c>
      <c r="N487" s="15" t="str">
        <f>TEXT(bd_Main[[#This Row],[Data]],"MMM")</f>
        <v>abr</v>
      </c>
      <c r="O487" s="15" t="str">
        <f>TEXT(bd_Main[[#This Row],[Data]],"AAAA")</f>
        <v>2022</v>
      </c>
    </row>
    <row r="488" spans="1:15" x14ac:dyDescent="0.25">
      <c r="A488" s="7">
        <f t="shared" si="7"/>
        <v>487</v>
      </c>
      <c r="B488" s="2">
        <v>44678</v>
      </c>
      <c r="C488" s="3" t="s">
        <v>93</v>
      </c>
      <c r="D488" s="3" t="s">
        <v>74</v>
      </c>
      <c r="E488" s="3" t="s">
        <v>10</v>
      </c>
      <c r="F488" s="3" t="s">
        <v>84</v>
      </c>
      <c r="G488" s="3">
        <v>0</v>
      </c>
      <c r="H488" s="3" t="s">
        <v>29</v>
      </c>
      <c r="I488" s="3" t="s">
        <v>64</v>
      </c>
      <c r="J488" s="3" t="s">
        <v>70</v>
      </c>
      <c r="K488" s="3" t="s">
        <v>19</v>
      </c>
      <c r="L488" s="3">
        <v>1696</v>
      </c>
      <c r="M488" s="15" t="str">
        <f>TEXT(bd_Main[[#This Row],[Data]],"ddd")</f>
        <v>qua</v>
      </c>
      <c r="N488" s="15" t="str">
        <f>TEXT(bd_Main[[#This Row],[Data]],"MMM")</f>
        <v>abr</v>
      </c>
      <c r="O488" s="15" t="str">
        <f>TEXT(bd_Main[[#This Row],[Data]],"AAAA")</f>
        <v>2022</v>
      </c>
    </row>
    <row r="489" spans="1:15" x14ac:dyDescent="0.25">
      <c r="A489" s="7">
        <f t="shared" si="7"/>
        <v>488</v>
      </c>
      <c r="B489" s="2">
        <v>44678</v>
      </c>
      <c r="C489" s="3" t="s">
        <v>13</v>
      </c>
      <c r="D489" s="3" t="s">
        <v>74</v>
      </c>
      <c r="E489" s="3" t="s">
        <v>20</v>
      </c>
      <c r="F489" s="3" t="s">
        <v>81</v>
      </c>
      <c r="G489" s="3">
        <v>0</v>
      </c>
      <c r="H489" s="3" t="s">
        <v>29</v>
      </c>
      <c r="I489" s="3" t="s">
        <v>63</v>
      </c>
      <c r="J489" s="3" t="s">
        <v>71</v>
      </c>
      <c r="K489" s="3" t="s">
        <v>22</v>
      </c>
      <c r="L489" s="3">
        <v>5</v>
      </c>
      <c r="M489" s="15" t="str">
        <f>TEXT(bd_Main[[#This Row],[Data]],"ddd")</f>
        <v>qua</v>
      </c>
      <c r="N489" s="15" t="str">
        <f>TEXT(bd_Main[[#This Row],[Data]],"MMM")</f>
        <v>abr</v>
      </c>
      <c r="O489" s="15" t="str">
        <f>TEXT(bd_Main[[#This Row],[Data]],"AAAA")</f>
        <v>2022</v>
      </c>
    </row>
    <row r="490" spans="1:15" x14ac:dyDescent="0.25">
      <c r="A490" s="7">
        <f t="shared" si="7"/>
        <v>489</v>
      </c>
      <c r="B490" s="2">
        <v>44680</v>
      </c>
      <c r="C490" s="3" t="s">
        <v>94</v>
      </c>
      <c r="D490" s="3" t="s">
        <v>74</v>
      </c>
      <c r="E490" s="3" t="s">
        <v>20</v>
      </c>
      <c r="F490" s="3" t="s">
        <v>84</v>
      </c>
      <c r="G490" s="3">
        <v>0</v>
      </c>
      <c r="H490" s="3" t="s">
        <v>21</v>
      </c>
      <c r="I490" s="3" t="s">
        <v>61</v>
      </c>
      <c r="J490" s="3" t="s">
        <v>71</v>
      </c>
      <c r="K490" s="3" t="s">
        <v>27</v>
      </c>
      <c r="L490" s="3">
        <v>0</v>
      </c>
      <c r="M490" s="15" t="str">
        <f>TEXT(bd_Main[[#This Row],[Data]],"ddd")</f>
        <v>sex</v>
      </c>
      <c r="N490" s="15" t="str">
        <f>TEXT(bd_Main[[#This Row],[Data]],"MMM")</f>
        <v>abr</v>
      </c>
      <c r="O490" s="15" t="str">
        <f>TEXT(bd_Main[[#This Row],[Data]],"AAAA")</f>
        <v>2022</v>
      </c>
    </row>
    <row r="491" spans="1:15" x14ac:dyDescent="0.25">
      <c r="A491" s="7">
        <f t="shared" si="7"/>
        <v>490</v>
      </c>
      <c r="B491" s="2">
        <v>44684</v>
      </c>
      <c r="C491" s="3" t="s">
        <v>96</v>
      </c>
      <c r="D491" s="3" t="s">
        <v>75</v>
      </c>
      <c r="E491" s="3" t="s">
        <v>14</v>
      </c>
      <c r="F491" s="3" t="s">
        <v>82</v>
      </c>
      <c r="G491" s="3">
        <v>0</v>
      </c>
      <c r="H491" s="3" t="s">
        <v>32</v>
      </c>
      <c r="I491" s="3" t="s">
        <v>64</v>
      </c>
      <c r="J491" s="3" t="s">
        <v>69</v>
      </c>
      <c r="K491" s="3" t="s">
        <v>19</v>
      </c>
      <c r="L491" s="3">
        <v>2795</v>
      </c>
      <c r="M491" s="15" t="str">
        <f>TEXT(bd_Main[[#This Row],[Data]],"ddd")</f>
        <v>ter</v>
      </c>
      <c r="N491" s="15" t="str">
        <f>TEXT(bd_Main[[#This Row],[Data]],"MMM")</f>
        <v>mai</v>
      </c>
      <c r="O491" s="15" t="str">
        <f>TEXT(bd_Main[[#This Row],[Data]],"AAAA")</f>
        <v>2022</v>
      </c>
    </row>
    <row r="492" spans="1:15" x14ac:dyDescent="0.25">
      <c r="A492" s="7">
        <f t="shared" si="7"/>
        <v>491</v>
      </c>
      <c r="B492" s="2">
        <v>44687</v>
      </c>
      <c r="C492" s="3" t="s">
        <v>94</v>
      </c>
      <c r="D492" s="3" t="s">
        <v>74</v>
      </c>
      <c r="E492" s="3" t="s">
        <v>17</v>
      </c>
      <c r="F492" s="3" t="s">
        <v>79</v>
      </c>
      <c r="G492" s="3">
        <v>0</v>
      </c>
      <c r="H492" s="3" t="s">
        <v>30</v>
      </c>
      <c r="I492" s="3" t="s">
        <v>61</v>
      </c>
      <c r="J492" s="3" t="s">
        <v>70</v>
      </c>
      <c r="K492" s="3" t="s">
        <v>16</v>
      </c>
      <c r="L492" s="3">
        <v>0</v>
      </c>
      <c r="M492" s="15" t="str">
        <f>TEXT(bd_Main[[#This Row],[Data]],"ddd")</f>
        <v>sex</v>
      </c>
      <c r="N492" s="15" t="str">
        <f>TEXT(bd_Main[[#This Row],[Data]],"MMM")</f>
        <v>mai</v>
      </c>
      <c r="O492" s="15" t="str">
        <f>TEXT(bd_Main[[#This Row],[Data]],"AAAA")</f>
        <v>2022</v>
      </c>
    </row>
    <row r="493" spans="1:15" x14ac:dyDescent="0.25">
      <c r="A493" s="7">
        <f t="shared" si="7"/>
        <v>492</v>
      </c>
      <c r="B493" s="2">
        <v>44688</v>
      </c>
      <c r="C493" s="3" t="s">
        <v>95</v>
      </c>
      <c r="D493" s="3" t="s">
        <v>74</v>
      </c>
      <c r="E493" s="3" t="s">
        <v>20</v>
      </c>
      <c r="F493" s="3" t="s">
        <v>82</v>
      </c>
      <c r="G493" s="3">
        <v>0</v>
      </c>
      <c r="H493" s="3" t="s">
        <v>15</v>
      </c>
      <c r="I493" s="3" t="s">
        <v>61</v>
      </c>
      <c r="J493" s="3" t="s">
        <v>69</v>
      </c>
      <c r="K493" s="3" t="s">
        <v>31</v>
      </c>
      <c r="L493" s="3">
        <v>0</v>
      </c>
      <c r="M493" s="15" t="str">
        <f>TEXT(bd_Main[[#This Row],[Data]],"ddd")</f>
        <v>sáb</v>
      </c>
      <c r="N493" s="15" t="str">
        <f>TEXT(bd_Main[[#This Row],[Data]],"MMM")</f>
        <v>mai</v>
      </c>
      <c r="O493" s="15" t="str">
        <f>TEXT(bd_Main[[#This Row],[Data]],"AAAA")</f>
        <v>2022</v>
      </c>
    </row>
    <row r="494" spans="1:15" x14ac:dyDescent="0.25">
      <c r="A494" s="7">
        <f t="shared" si="7"/>
        <v>493</v>
      </c>
      <c r="B494" s="2">
        <v>44689</v>
      </c>
      <c r="C494" s="3" t="s">
        <v>94</v>
      </c>
      <c r="D494" s="3" t="s">
        <v>74</v>
      </c>
      <c r="E494" s="3" t="s">
        <v>10</v>
      </c>
      <c r="F494" s="3" t="s">
        <v>84</v>
      </c>
      <c r="G494" s="3">
        <v>0</v>
      </c>
      <c r="H494" s="3" t="s">
        <v>30</v>
      </c>
      <c r="I494" s="3" t="s">
        <v>63</v>
      </c>
      <c r="J494" s="3" t="s">
        <v>70</v>
      </c>
      <c r="K494" s="3" t="s">
        <v>27</v>
      </c>
      <c r="L494" s="3">
        <v>277</v>
      </c>
      <c r="M494" s="15" t="str">
        <f>TEXT(bd_Main[[#This Row],[Data]],"ddd")</f>
        <v>dom</v>
      </c>
      <c r="N494" s="15" t="str">
        <f>TEXT(bd_Main[[#This Row],[Data]],"MMM")</f>
        <v>mai</v>
      </c>
      <c r="O494" s="15" t="str">
        <f>TEXT(bd_Main[[#This Row],[Data]],"AAAA")</f>
        <v>2022</v>
      </c>
    </row>
    <row r="495" spans="1:15" x14ac:dyDescent="0.25">
      <c r="A495" s="7">
        <f t="shared" si="7"/>
        <v>494</v>
      </c>
      <c r="B495" s="2">
        <v>44692</v>
      </c>
      <c r="C495" s="3" t="s">
        <v>94</v>
      </c>
      <c r="D495" s="3" t="s">
        <v>74</v>
      </c>
      <c r="E495" s="3" t="s">
        <v>20</v>
      </c>
      <c r="F495" s="3" t="s">
        <v>81</v>
      </c>
      <c r="G495" s="3">
        <v>0</v>
      </c>
      <c r="H495" s="3" t="s">
        <v>11</v>
      </c>
      <c r="I495" s="3" t="s">
        <v>63</v>
      </c>
      <c r="J495" s="3" t="s">
        <v>69</v>
      </c>
      <c r="K495" s="3" t="s">
        <v>22</v>
      </c>
      <c r="L495" s="3">
        <v>189</v>
      </c>
      <c r="M495" s="15" t="str">
        <f>TEXT(bd_Main[[#This Row],[Data]],"ddd")</f>
        <v>qua</v>
      </c>
      <c r="N495" s="15" t="str">
        <f>TEXT(bd_Main[[#This Row],[Data]],"MMM")</f>
        <v>mai</v>
      </c>
      <c r="O495" s="15" t="str">
        <f>TEXT(bd_Main[[#This Row],[Data]],"AAAA")</f>
        <v>2022</v>
      </c>
    </row>
    <row r="496" spans="1:15" x14ac:dyDescent="0.25">
      <c r="A496" s="7">
        <f t="shared" si="7"/>
        <v>495</v>
      </c>
      <c r="B496" s="2">
        <v>44697</v>
      </c>
      <c r="C496" s="3" t="s">
        <v>94</v>
      </c>
      <c r="D496" s="3" t="s">
        <v>74</v>
      </c>
      <c r="E496" s="3" t="s">
        <v>10</v>
      </c>
      <c r="F496" s="3" t="s">
        <v>80</v>
      </c>
      <c r="G496" s="3">
        <v>2.5</v>
      </c>
      <c r="H496" s="3" t="s">
        <v>25</v>
      </c>
      <c r="I496" s="3" t="s">
        <v>62</v>
      </c>
      <c r="J496" s="3" t="s">
        <v>71</v>
      </c>
      <c r="K496" s="3" t="s">
        <v>26</v>
      </c>
      <c r="L496" s="3">
        <v>4563</v>
      </c>
      <c r="M496" s="15" t="str">
        <f>TEXT(bd_Main[[#This Row],[Data]],"ddd")</f>
        <v>seg</v>
      </c>
      <c r="N496" s="15" t="str">
        <f>TEXT(bd_Main[[#This Row],[Data]],"MMM")</f>
        <v>mai</v>
      </c>
      <c r="O496" s="15" t="str">
        <f>TEXT(bd_Main[[#This Row],[Data]],"AAAA")</f>
        <v>2022</v>
      </c>
    </row>
    <row r="497" spans="1:15" x14ac:dyDescent="0.25">
      <c r="A497" s="7">
        <f t="shared" si="7"/>
        <v>496</v>
      </c>
      <c r="B497" s="2">
        <v>44698</v>
      </c>
      <c r="C497" s="3" t="s">
        <v>94</v>
      </c>
      <c r="D497" s="3" t="s">
        <v>74</v>
      </c>
      <c r="E497" s="3" t="s">
        <v>14</v>
      </c>
      <c r="F497" s="3" t="s">
        <v>83</v>
      </c>
      <c r="G497" s="3">
        <v>0</v>
      </c>
      <c r="H497" s="3" t="s">
        <v>30</v>
      </c>
      <c r="I497" s="3" t="s">
        <v>63</v>
      </c>
      <c r="J497" s="3" t="s">
        <v>69</v>
      </c>
      <c r="K497" s="3" t="s">
        <v>19</v>
      </c>
      <c r="L497" s="3">
        <v>341</v>
      </c>
      <c r="M497" s="15" t="str">
        <f>TEXT(bd_Main[[#This Row],[Data]],"ddd")</f>
        <v>ter</v>
      </c>
      <c r="N497" s="15" t="str">
        <f>TEXT(bd_Main[[#This Row],[Data]],"MMM")</f>
        <v>mai</v>
      </c>
      <c r="O497" s="15" t="str">
        <f>TEXT(bd_Main[[#This Row],[Data]],"AAAA")</f>
        <v>2022</v>
      </c>
    </row>
    <row r="498" spans="1:15" x14ac:dyDescent="0.25">
      <c r="A498" s="7">
        <f t="shared" si="7"/>
        <v>497</v>
      </c>
      <c r="B498" s="2">
        <v>44700</v>
      </c>
      <c r="C498" s="3" t="s">
        <v>93</v>
      </c>
      <c r="D498" s="3" t="s">
        <v>74</v>
      </c>
      <c r="E498" s="3" t="s">
        <v>20</v>
      </c>
      <c r="F498" s="3" t="s">
        <v>85</v>
      </c>
      <c r="G498" s="3">
        <v>0</v>
      </c>
      <c r="H498" s="3" t="s">
        <v>18</v>
      </c>
      <c r="I498" s="3" t="s">
        <v>61</v>
      </c>
      <c r="J498" s="3" t="s">
        <v>70</v>
      </c>
      <c r="K498" s="3" t="s">
        <v>28</v>
      </c>
      <c r="L498" s="3">
        <v>0</v>
      </c>
      <c r="M498" s="15" t="str">
        <f>TEXT(bd_Main[[#This Row],[Data]],"ddd")</f>
        <v>qui</v>
      </c>
      <c r="N498" s="15" t="str">
        <f>TEXT(bd_Main[[#This Row],[Data]],"MMM")</f>
        <v>mai</v>
      </c>
      <c r="O498" s="15" t="str">
        <f>TEXT(bd_Main[[#This Row],[Data]],"AAAA")</f>
        <v>2022</v>
      </c>
    </row>
    <row r="499" spans="1:15" x14ac:dyDescent="0.25">
      <c r="A499" s="7">
        <f t="shared" si="7"/>
        <v>498</v>
      </c>
      <c r="B499" s="2">
        <v>44704</v>
      </c>
      <c r="C499" s="3" t="s">
        <v>13</v>
      </c>
      <c r="D499" s="3" t="s">
        <v>74</v>
      </c>
      <c r="E499" s="3" t="s">
        <v>17</v>
      </c>
      <c r="F499" s="3" t="s">
        <v>79</v>
      </c>
      <c r="G499" s="3">
        <v>0</v>
      </c>
      <c r="H499" s="3" t="s">
        <v>25</v>
      </c>
      <c r="I499" s="3" t="s">
        <v>64</v>
      </c>
      <c r="J499" s="3" t="s">
        <v>70</v>
      </c>
      <c r="K499" s="3" t="s">
        <v>31</v>
      </c>
      <c r="L499" s="3">
        <v>1824</v>
      </c>
      <c r="M499" s="15" t="str">
        <f>TEXT(bd_Main[[#This Row],[Data]],"ddd")</f>
        <v>seg</v>
      </c>
      <c r="N499" s="15" t="str">
        <f>TEXT(bd_Main[[#This Row],[Data]],"MMM")</f>
        <v>mai</v>
      </c>
      <c r="O499" s="15" t="str">
        <f>TEXT(bd_Main[[#This Row],[Data]],"AAAA")</f>
        <v>2022</v>
      </c>
    </row>
    <row r="500" spans="1:15" x14ac:dyDescent="0.25">
      <c r="A500" s="7">
        <f t="shared" si="7"/>
        <v>499</v>
      </c>
      <c r="B500" s="2">
        <v>44707</v>
      </c>
      <c r="C500" s="3" t="s">
        <v>92</v>
      </c>
      <c r="D500" s="3" t="s">
        <v>74</v>
      </c>
      <c r="E500" s="3" t="s">
        <v>14</v>
      </c>
      <c r="F500" s="3" t="s">
        <v>85</v>
      </c>
      <c r="G500" s="3">
        <v>0</v>
      </c>
      <c r="H500" s="3" t="s">
        <v>25</v>
      </c>
      <c r="I500" s="3" t="s">
        <v>64</v>
      </c>
      <c r="J500" s="3" t="s">
        <v>71</v>
      </c>
      <c r="K500" s="3" t="s">
        <v>16</v>
      </c>
      <c r="L500" s="3">
        <v>1643</v>
      </c>
      <c r="M500" s="15" t="str">
        <f>TEXT(bd_Main[[#This Row],[Data]],"ddd")</f>
        <v>qui</v>
      </c>
      <c r="N500" s="15" t="str">
        <f>TEXT(bd_Main[[#This Row],[Data]],"MMM")</f>
        <v>mai</v>
      </c>
      <c r="O500" s="15" t="str">
        <f>TEXT(bd_Main[[#This Row],[Data]],"AAAA")</f>
        <v>2022</v>
      </c>
    </row>
    <row r="501" spans="1:15" x14ac:dyDescent="0.25">
      <c r="A501" s="7">
        <f t="shared" si="7"/>
        <v>500</v>
      </c>
      <c r="B501" s="2">
        <v>44708</v>
      </c>
      <c r="C501" s="3" t="s">
        <v>94</v>
      </c>
      <c r="D501" s="3" t="s">
        <v>74</v>
      </c>
      <c r="E501" s="3" t="s">
        <v>17</v>
      </c>
      <c r="F501" s="3" t="s">
        <v>83</v>
      </c>
      <c r="G501" s="3">
        <v>0</v>
      </c>
      <c r="H501" s="3" t="s">
        <v>18</v>
      </c>
      <c r="I501" s="3" t="s">
        <v>63</v>
      </c>
      <c r="J501" s="3" t="s">
        <v>69</v>
      </c>
      <c r="K501" s="3" t="s">
        <v>19</v>
      </c>
      <c r="L501" s="3">
        <v>115</v>
      </c>
      <c r="M501" s="15" t="str">
        <f>TEXT(bd_Main[[#This Row],[Data]],"ddd")</f>
        <v>sex</v>
      </c>
      <c r="N501" s="15" t="str">
        <f>TEXT(bd_Main[[#This Row],[Data]],"MMM")</f>
        <v>mai</v>
      </c>
      <c r="O501" s="15" t="str">
        <f>TEXT(bd_Main[[#This Row],[Data]],"AAAA")</f>
        <v>2022</v>
      </c>
    </row>
    <row r="502" spans="1:15" x14ac:dyDescent="0.25">
      <c r="A502" s="7">
        <f t="shared" si="7"/>
        <v>501</v>
      </c>
      <c r="B502" s="2">
        <v>44711</v>
      </c>
      <c r="C502" s="3" t="s">
        <v>93</v>
      </c>
      <c r="D502" s="3" t="s">
        <v>74</v>
      </c>
      <c r="E502" s="3" t="s">
        <v>17</v>
      </c>
      <c r="F502" s="3" t="s">
        <v>79</v>
      </c>
      <c r="G502" s="3">
        <v>1</v>
      </c>
      <c r="H502" s="3" t="s">
        <v>32</v>
      </c>
      <c r="I502" s="3" t="s">
        <v>62</v>
      </c>
      <c r="J502" s="3" t="s">
        <v>71</v>
      </c>
      <c r="K502" s="3" t="s">
        <v>12</v>
      </c>
      <c r="L502" s="3">
        <v>1449</v>
      </c>
      <c r="M502" s="15" t="str">
        <f>TEXT(bd_Main[[#This Row],[Data]],"ddd")</f>
        <v>seg</v>
      </c>
      <c r="N502" s="15" t="str">
        <f>TEXT(bd_Main[[#This Row],[Data]],"MMM")</f>
        <v>mai</v>
      </c>
      <c r="O502" s="15" t="str">
        <f>TEXT(bd_Main[[#This Row],[Data]],"AAAA")</f>
        <v>2022</v>
      </c>
    </row>
    <row r="503" spans="1:15" x14ac:dyDescent="0.25">
      <c r="A503" s="7">
        <f t="shared" si="7"/>
        <v>502</v>
      </c>
      <c r="B503" s="2">
        <v>44712</v>
      </c>
      <c r="C503" s="3" t="s">
        <v>93</v>
      </c>
      <c r="D503" s="3" t="s">
        <v>74</v>
      </c>
      <c r="E503" s="3" t="s">
        <v>10</v>
      </c>
      <c r="F503" s="3" t="s">
        <v>81</v>
      </c>
      <c r="G503" s="3">
        <v>0</v>
      </c>
      <c r="H503" s="3" t="s">
        <v>24</v>
      </c>
      <c r="I503" s="3" t="s">
        <v>64</v>
      </c>
      <c r="J503" s="3" t="s">
        <v>69</v>
      </c>
      <c r="K503" s="3" t="s">
        <v>12</v>
      </c>
      <c r="L503" s="3">
        <v>2764</v>
      </c>
      <c r="M503" s="15" t="str">
        <f>TEXT(bd_Main[[#This Row],[Data]],"ddd")</f>
        <v>ter</v>
      </c>
      <c r="N503" s="15" t="str">
        <f>TEXT(bd_Main[[#This Row],[Data]],"MMM")</f>
        <v>mai</v>
      </c>
      <c r="O503" s="15" t="str">
        <f>TEXT(bd_Main[[#This Row],[Data]],"AAAA")</f>
        <v>2022</v>
      </c>
    </row>
    <row r="504" spans="1:15" x14ac:dyDescent="0.25">
      <c r="A504" s="7">
        <f t="shared" si="7"/>
        <v>503</v>
      </c>
      <c r="B504" s="2">
        <v>44715</v>
      </c>
      <c r="C504" s="3" t="s">
        <v>96</v>
      </c>
      <c r="D504" s="3" t="s">
        <v>74</v>
      </c>
      <c r="E504" s="3" t="s">
        <v>20</v>
      </c>
      <c r="F504" s="3" t="s">
        <v>87</v>
      </c>
      <c r="G504" s="3">
        <v>0</v>
      </c>
      <c r="H504" s="3" t="s">
        <v>15</v>
      </c>
      <c r="I504" s="3" t="s">
        <v>61</v>
      </c>
      <c r="J504" s="3" t="s">
        <v>69</v>
      </c>
      <c r="K504" s="3" t="s">
        <v>26</v>
      </c>
      <c r="L504" s="3">
        <v>0</v>
      </c>
      <c r="M504" s="15" t="str">
        <f>TEXT(bd_Main[[#This Row],[Data]],"ddd")</f>
        <v>sex</v>
      </c>
      <c r="N504" s="15" t="str">
        <f>TEXT(bd_Main[[#This Row],[Data]],"MMM")</f>
        <v>jun</v>
      </c>
      <c r="O504" s="15" t="str">
        <f>TEXT(bd_Main[[#This Row],[Data]],"AAAA")</f>
        <v>2022</v>
      </c>
    </row>
    <row r="505" spans="1:15" x14ac:dyDescent="0.25">
      <c r="A505" s="7">
        <f t="shared" si="7"/>
        <v>504</v>
      </c>
      <c r="B505" s="2">
        <v>44715</v>
      </c>
      <c r="C505" s="3" t="s">
        <v>96</v>
      </c>
      <c r="D505" s="3" t="s">
        <v>74</v>
      </c>
      <c r="E505" s="3" t="s">
        <v>17</v>
      </c>
      <c r="F505" s="3" t="s">
        <v>83</v>
      </c>
      <c r="G505" s="3">
        <v>0</v>
      </c>
      <c r="H505" s="3" t="s">
        <v>24</v>
      </c>
      <c r="I505" s="3" t="s">
        <v>63</v>
      </c>
      <c r="J505" s="3" t="s">
        <v>70</v>
      </c>
      <c r="K505" s="3" t="s">
        <v>26</v>
      </c>
      <c r="L505" s="3">
        <v>67</v>
      </c>
      <c r="M505" s="15" t="str">
        <f>TEXT(bd_Main[[#This Row],[Data]],"ddd")</f>
        <v>sex</v>
      </c>
      <c r="N505" s="15" t="str">
        <f>TEXT(bd_Main[[#This Row],[Data]],"MMM")</f>
        <v>jun</v>
      </c>
      <c r="O505" s="15" t="str">
        <f>TEXT(bd_Main[[#This Row],[Data]],"AAAA")</f>
        <v>2022</v>
      </c>
    </row>
    <row r="506" spans="1:15" x14ac:dyDescent="0.25">
      <c r="A506" s="7">
        <f t="shared" si="7"/>
        <v>505</v>
      </c>
      <c r="B506" s="2">
        <v>44715</v>
      </c>
      <c r="C506" s="3" t="s">
        <v>90</v>
      </c>
      <c r="D506" s="3" t="s">
        <v>74</v>
      </c>
      <c r="E506" s="3" t="s">
        <v>20</v>
      </c>
      <c r="F506" s="3" t="s">
        <v>79</v>
      </c>
      <c r="G506" s="3">
        <v>0</v>
      </c>
      <c r="H506" s="3" t="s">
        <v>18</v>
      </c>
      <c r="I506" s="3" t="s">
        <v>64</v>
      </c>
      <c r="J506" s="3" t="s">
        <v>69</v>
      </c>
      <c r="K506" s="3" t="s">
        <v>28</v>
      </c>
      <c r="L506" s="3">
        <v>4639</v>
      </c>
      <c r="M506" s="15" t="str">
        <f>TEXT(bd_Main[[#This Row],[Data]],"ddd")</f>
        <v>sex</v>
      </c>
      <c r="N506" s="15" t="str">
        <f>TEXT(bd_Main[[#This Row],[Data]],"MMM")</f>
        <v>jun</v>
      </c>
      <c r="O506" s="15" t="str">
        <f>TEXT(bd_Main[[#This Row],[Data]],"AAAA")</f>
        <v>2022</v>
      </c>
    </row>
    <row r="507" spans="1:15" x14ac:dyDescent="0.25">
      <c r="A507" s="7">
        <f t="shared" si="7"/>
        <v>506</v>
      </c>
      <c r="B507" s="2">
        <v>44717</v>
      </c>
      <c r="C507" s="3" t="s">
        <v>96</v>
      </c>
      <c r="D507" s="3" t="s">
        <v>74</v>
      </c>
      <c r="E507" s="3" t="s">
        <v>10</v>
      </c>
      <c r="F507" s="3" t="s">
        <v>84</v>
      </c>
      <c r="G507" s="3">
        <v>0</v>
      </c>
      <c r="H507" s="3" t="s">
        <v>11</v>
      </c>
      <c r="I507" s="3" t="s">
        <v>61</v>
      </c>
      <c r="J507" s="3" t="s">
        <v>70</v>
      </c>
      <c r="K507" s="3" t="s">
        <v>23</v>
      </c>
      <c r="L507" s="3">
        <v>0</v>
      </c>
      <c r="M507" s="15" t="str">
        <f>TEXT(bd_Main[[#This Row],[Data]],"ddd")</f>
        <v>dom</v>
      </c>
      <c r="N507" s="15" t="str">
        <f>TEXT(bd_Main[[#This Row],[Data]],"MMM")</f>
        <v>jun</v>
      </c>
      <c r="O507" s="15" t="str">
        <f>TEXT(bd_Main[[#This Row],[Data]],"AAAA")</f>
        <v>2022</v>
      </c>
    </row>
    <row r="508" spans="1:15" x14ac:dyDescent="0.25">
      <c r="A508" s="7">
        <f t="shared" si="7"/>
        <v>507</v>
      </c>
      <c r="B508" s="2">
        <v>44719</v>
      </c>
      <c r="C508" s="3" t="s">
        <v>33</v>
      </c>
      <c r="D508" s="3" t="s">
        <v>74</v>
      </c>
      <c r="E508" s="3" t="s">
        <v>10</v>
      </c>
      <c r="F508" s="3" t="s">
        <v>86</v>
      </c>
      <c r="G508" s="3">
        <v>0</v>
      </c>
      <c r="H508" s="3" t="s">
        <v>24</v>
      </c>
      <c r="I508" s="3" t="s">
        <v>61</v>
      </c>
      <c r="J508" s="3" t="s">
        <v>70</v>
      </c>
      <c r="K508" s="3" t="s">
        <v>27</v>
      </c>
      <c r="L508" s="3">
        <v>0</v>
      </c>
      <c r="M508" s="15" t="str">
        <f>TEXT(bd_Main[[#This Row],[Data]],"ddd")</f>
        <v>ter</v>
      </c>
      <c r="N508" s="15" t="str">
        <f>TEXT(bd_Main[[#This Row],[Data]],"MMM")</f>
        <v>jun</v>
      </c>
      <c r="O508" s="15" t="str">
        <f>TEXT(bd_Main[[#This Row],[Data]],"AAAA")</f>
        <v>2022</v>
      </c>
    </row>
    <row r="509" spans="1:15" x14ac:dyDescent="0.25">
      <c r="A509" s="7">
        <f t="shared" si="7"/>
        <v>508</v>
      </c>
      <c r="B509" s="2">
        <v>44722</v>
      </c>
      <c r="C509" s="3" t="s">
        <v>92</v>
      </c>
      <c r="D509" s="3" t="s">
        <v>75</v>
      </c>
      <c r="E509" s="3" t="s">
        <v>20</v>
      </c>
      <c r="F509" s="3" t="s">
        <v>84</v>
      </c>
      <c r="G509" s="3">
        <v>0</v>
      </c>
      <c r="H509" s="3" t="s">
        <v>25</v>
      </c>
      <c r="I509" s="3" t="s">
        <v>64</v>
      </c>
      <c r="J509" s="3" t="s">
        <v>70</v>
      </c>
      <c r="K509" s="3" t="s">
        <v>19</v>
      </c>
      <c r="L509" s="3">
        <v>2356</v>
      </c>
      <c r="M509" s="15" t="str">
        <f>TEXT(bd_Main[[#This Row],[Data]],"ddd")</f>
        <v>sex</v>
      </c>
      <c r="N509" s="15" t="str">
        <f>TEXT(bd_Main[[#This Row],[Data]],"MMM")</f>
        <v>jun</v>
      </c>
      <c r="O509" s="15" t="str">
        <f>TEXT(bd_Main[[#This Row],[Data]],"AAAA")</f>
        <v>2022</v>
      </c>
    </row>
    <row r="510" spans="1:15" x14ac:dyDescent="0.25">
      <c r="A510" s="7">
        <f t="shared" si="7"/>
        <v>509</v>
      </c>
      <c r="B510" s="2">
        <v>44737</v>
      </c>
      <c r="C510" s="3" t="s">
        <v>93</v>
      </c>
      <c r="D510" s="3" t="s">
        <v>74</v>
      </c>
      <c r="E510" s="3" t="s">
        <v>20</v>
      </c>
      <c r="F510" s="3" t="s">
        <v>79</v>
      </c>
      <c r="G510" s="3">
        <v>0</v>
      </c>
      <c r="H510" s="3" t="s">
        <v>11</v>
      </c>
      <c r="I510" s="3" t="s">
        <v>64</v>
      </c>
      <c r="J510" s="3" t="s">
        <v>70</v>
      </c>
      <c r="K510" s="3" t="s">
        <v>23</v>
      </c>
      <c r="L510" s="3">
        <v>2184</v>
      </c>
      <c r="M510" s="15" t="str">
        <f>TEXT(bd_Main[[#This Row],[Data]],"ddd")</f>
        <v>sáb</v>
      </c>
      <c r="N510" s="15" t="str">
        <f>TEXT(bd_Main[[#This Row],[Data]],"MMM")</f>
        <v>jun</v>
      </c>
      <c r="O510" s="15" t="str">
        <f>TEXT(bd_Main[[#This Row],[Data]],"AAAA")</f>
        <v>2022</v>
      </c>
    </row>
    <row r="511" spans="1:15" x14ac:dyDescent="0.25">
      <c r="A511" s="7">
        <f t="shared" si="7"/>
        <v>510</v>
      </c>
      <c r="B511" s="2">
        <v>44738</v>
      </c>
      <c r="C511" s="3" t="s">
        <v>94</v>
      </c>
      <c r="D511" s="3" t="s">
        <v>75</v>
      </c>
      <c r="E511" s="3" t="s">
        <v>10</v>
      </c>
      <c r="F511" s="3" t="s">
        <v>86</v>
      </c>
      <c r="G511" s="3">
        <v>0</v>
      </c>
      <c r="H511" s="3" t="s">
        <v>24</v>
      </c>
      <c r="I511" s="3" t="s">
        <v>63</v>
      </c>
      <c r="J511" s="3" t="s">
        <v>71</v>
      </c>
      <c r="K511" s="3" t="s">
        <v>19</v>
      </c>
      <c r="L511" s="3">
        <v>77</v>
      </c>
      <c r="M511" s="15" t="str">
        <f>TEXT(bd_Main[[#This Row],[Data]],"ddd")</f>
        <v>dom</v>
      </c>
      <c r="N511" s="15" t="str">
        <f>TEXT(bd_Main[[#This Row],[Data]],"MMM")</f>
        <v>jun</v>
      </c>
      <c r="O511" s="15" t="str">
        <f>TEXT(bd_Main[[#This Row],[Data]],"AAAA")</f>
        <v>2022</v>
      </c>
    </row>
    <row r="512" spans="1:15" x14ac:dyDescent="0.25">
      <c r="A512" s="7">
        <f t="shared" si="7"/>
        <v>511</v>
      </c>
      <c r="B512" s="2">
        <v>44739</v>
      </c>
      <c r="C512" s="3" t="s">
        <v>95</v>
      </c>
      <c r="D512" s="3" t="s">
        <v>74</v>
      </c>
      <c r="E512" s="3" t="s">
        <v>10</v>
      </c>
      <c r="F512" s="3" t="s">
        <v>87</v>
      </c>
      <c r="G512" s="3">
        <v>0</v>
      </c>
      <c r="H512" s="3" t="s">
        <v>25</v>
      </c>
      <c r="I512" s="3" t="s">
        <v>61</v>
      </c>
      <c r="J512" s="3" t="s">
        <v>69</v>
      </c>
      <c r="K512" s="3" t="s">
        <v>31</v>
      </c>
      <c r="L512" s="3">
        <v>0</v>
      </c>
      <c r="M512" s="15" t="str">
        <f>TEXT(bd_Main[[#This Row],[Data]],"ddd")</f>
        <v>seg</v>
      </c>
      <c r="N512" s="15" t="str">
        <f>TEXT(bd_Main[[#This Row],[Data]],"MMM")</f>
        <v>jun</v>
      </c>
      <c r="O512" s="15" t="str">
        <f>TEXT(bd_Main[[#This Row],[Data]],"AAAA")</f>
        <v>2022</v>
      </c>
    </row>
    <row r="513" spans="1:15" x14ac:dyDescent="0.25">
      <c r="A513" s="7">
        <f t="shared" si="7"/>
        <v>512</v>
      </c>
      <c r="B513" s="2">
        <v>44740</v>
      </c>
      <c r="C513" s="3" t="s">
        <v>95</v>
      </c>
      <c r="D513" s="3" t="s">
        <v>74</v>
      </c>
      <c r="E513" s="3" t="s">
        <v>10</v>
      </c>
      <c r="F513" s="3" t="s">
        <v>85</v>
      </c>
      <c r="G513" s="3">
        <v>0</v>
      </c>
      <c r="H513" s="3" t="s">
        <v>25</v>
      </c>
      <c r="I513" s="3" t="s">
        <v>61</v>
      </c>
      <c r="J513" s="3" t="s">
        <v>69</v>
      </c>
      <c r="K513" s="3" t="s">
        <v>23</v>
      </c>
      <c r="L513" s="3">
        <v>0</v>
      </c>
      <c r="M513" s="15" t="str">
        <f>TEXT(bd_Main[[#This Row],[Data]],"ddd")</f>
        <v>ter</v>
      </c>
      <c r="N513" s="15" t="str">
        <f>TEXT(bd_Main[[#This Row],[Data]],"MMM")</f>
        <v>jun</v>
      </c>
      <c r="O513" s="15" t="str">
        <f>TEXT(bd_Main[[#This Row],[Data]],"AAAA")</f>
        <v>2022</v>
      </c>
    </row>
    <row r="514" spans="1:15" x14ac:dyDescent="0.25">
      <c r="A514" s="7">
        <f t="shared" si="7"/>
        <v>513</v>
      </c>
      <c r="B514" s="2">
        <v>44740</v>
      </c>
      <c r="C514" s="3" t="s">
        <v>96</v>
      </c>
      <c r="D514" s="3" t="s">
        <v>74</v>
      </c>
      <c r="E514" s="3" t="s">
        <v>20</v>
      </c>
      <c r="F514" s="3" t="s">
        <v>80</v>
      </c>
      <c r="G514" s="3">
        <v>0</v>
      </c>
      <c r="H514" s="3" t="s">
        <v>25</v>
      </c>
      <c r="I514" s="3" t="s">
        <v>64</v>
      </c>
      <c r="J514" s="3" t="s">
        <v>71</v>
      </c>
      <c r="K514" s="3" t="s">
        <v>19</v>
      </c>
      <c r="L514" s="3">
        <v>804</v>
      </c>
      <c r="M514" s="15" t="str">
        <f>TEXT(bd_Main[[#This Row],[Data]],"ddd")</f>
        <v>ter</v>
      </c>
      <c r="N514" s="15" t="str">
        <f>TEXT(bd_Main[[#This Row],[Data]],"MMM")</f>
        <v>jun</v>
      </c>
      <c r="O514" s="15" t="str">
        <f>TEXT(bd_Main[[#This Row],[Data]],"AAAA")</f>
        <v>2022</v>
      </c>
    </row>
    <row r="515" spans="1:15" x14ac:dyDescent="0.25">
      <c r="A515" s="7">
        <f t="shared" si="7"/>
        <v>514</v>
      </c>
      <c r="B515" s="2">
        <v>44740</v>
      </c>
      <c r="C515" s="3" t="s">
        <v>95</v>
      </c>
      <c r="D515" s="3" t="s">
        <v>74</v>
      </c>
      <c r="E515" s="3" t="s">
        <v>17</v>
      </c>
      <c r="F515" s="3" t="s">
        <v>82</v>
      </c>
      <c r="G515" s="3">
        <v>0</v>
      </c>
      <c r="H515" s="3" t="s">
        <v>29</v>
      </c>
      <c r="I515" s="3" t="s">
        <v>64</v>
      </c>
      <c r="J515" s="3" t="s">
        <v>69</v>
      </c>
      <c r="K515" s="3" t="s">
        <v>31</v>
      </c>
      <c r="L515" s="3">
        <v>706</v>
      </c>
      <c r="M515" s="15" t="str">
        <f>TEXT(bd_Main[[#This Row],[Data]],"ddd")</f>
        <v>ter</v>
      </c>
      <c r="N515" s="15" t="str">
        <f>TEXT(bd_Main[[#This Row],[Data]],"MMM")</f>
        <v>jun</v>
      </c>
      <c r="O515" s="15" t="str">
        <f>TEXT(bd_Main[[#This Row],[Data]],"AAAA")</f>
        <v>2022</v>
      </c>
    </row>
  </sheetData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65B43-298B-4F5A-8E3B-DF3765569F7A}">
  <sheetPr codeName="Planilha2">
    <tabColor theme="1" tint="0.14999847407452621"/>
  </sheetPr>
  <dimension ref="A1:U17"/>
  <sheetViews>
    <sheetView zoomScale="145" zoomScaleNormal="145" workbookViewId="0">
      <pane ySplit="1" topLeftCell="A2" activePane="bottomLeft" state="frozen"/>
      <selection pane="bottomLeft" activeCell="I7" sqref="I7:J7"/>
    </sheetView>
  </sheetViews>
  <sheetFormatPr defaultRowHeight="15" x14ac:dyDescent="0.25"/>
  <cols>
    <col min="1" max="1" width="14.7109375" customWidth="1"/>
    <col min="2" max="2" width="14.28515625" bestFit="1" customWidth="1"/>
    <col min="9" max="9" width="16.28515625" customWidth="1"/>
    <col min="10" max="10" width="9.140625" customWidth="1"/>
  </cols>
  <sheetData>
    <row r="1" spans="1:21" x14ac:dyDescent="0.25">
      <c r="A1" s="44" t="s">
        <v>99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21"/>
      <c r="O1" s="21"/>
      <c r="P1" s="21"/>
      <c r="Q1" s="21"/>
      <c r="R1" s="21"/>
      <c r="S1" s="21"/>
      <c r="T1" s="21"/>
      <c r="U1" s="21"/>
    </row>
    <row r="3" spans="1:21" x14ac:dyDescent="0.25">
      <c r="A3" s="50" t="s">
        <v>65</v>
      </c>
      <c r="B3" s="50"/>
      <c r="C3" s="22"/>
      <c r="D3" s="39" t="s">
        <v>68</v>
      </c>
      <c r="E3" s="40"/>
      <c r="F3" s="41"/>
      <c r="G3" s="22"/>
      <c r="I3" s="42" t="s">
        <v>98</v>
      </c>
      <c r="J3" s="49"/>
      <c r="K3" s="43"/>
    </row>
    <row r="4" spans="1:21" x14ac:dyDescent="0.25">
      <c r="A4" s="23" t="s">
        <v>66</v>
      </c>
      <c r="B4" s="23">
        <f>IFERROR(SUM('Tabelas de Análise'!N4:N14),"ERRO!")</f>
        <v>378.5</v>
      </c>
      <c r="D4" s="45" t="s">
        <v>61</v>
      </c>
      <c r="E4" s="46"/>
      <c r="F4" s="25">
        <f>INDEX('Tabelas de Análise'!$P$3:$Q$20, MATCH("Quase Acidente",'Tabelas de Análise'!$P$3:$P$20,FALSE),2)</f>
        <v>139</v>
      </c>
      <c r="I4" s="54" t="s">
        <v>102</v>
      </c>
      <c r="J4" s="54" t="s">
        <v>104</v>
      </c>
      <c r="K4" s="54" t="s">
        <v>103</v>
      </c>
    </row>
    <row r="5" spans="1:21" x14ac:dyDescent="0.25">
      <c r="A5" s="23" t="s">
        <v>67</v>
      </c>
      <c r="B5" s="24">
        <f>IFERROR(SUM('Tabelas de Análise'!H4:H20), "Erro!")</f>
        <v>717795</v>
      </c>
      <c r="D5" s="47" t="s">
        <v>62</v>
      </c>
      <c r="E5" s="48"/>
      <c r="F5" s="25">
        <f>INDEX('Tabelas de Análise'!$P$3:$Q$20, MATCH("Tempo Perdido",'Tabelas de Análise'!$P$3:$P$20,FALSE),2)</f>
        <v>133</v>
      </c>
      <c r="I5" s="29" t="s">
        <v>33</v>
      </c>
      <c r="J5" s="33" t="str">
        <f>IF(SUM('Tabelas de Análise'!$K$4:$K$20)=$K5, IF(I5='Tabelas de Análise'!$J$4, 1, 0),"0")</f>
        <v>0</v>
      </c>
      <c r="K5" s="29">
        <f>IFERROR(INDEX('Tabelas de Análise'!$J$4:$K$20, MATCH("Abdomen",'Tabelas de Análise'!$J$4:$J$20,FALSE),2),"")</f>
        <v>39</v>
      </c>
    </row>
    <row r="6" spans="1:21" x14ac:dyDescent="0.25">
      <c r="D6" s="47" t="s">
        <v>88</v>
      </c>
      <c r="E6" s="48"/>
      <c r="F6" s="25">
        <f>INDEX('Tabelas de Análise'!$P$3:$Q$20, MATCH("Primeiros-Socorros",'Tabelas de Análise'!$P$3:$P$20,FALSE),2)</f>
        <v>114</v>
      </c>
      <c r="I6" s="30" t="s">
        <v>13</v>
      </c>
      <c r="J6" s="33" t="str">
        <f>IF(SUM('Tabelas de Análise'!$K$4:$K$20)=$K6, IF(I6='Tabelas de Análise'!$J$4, 1, 0),"0")</f>
        <v>0</v>
      </c>
      <c r="K6" s="30">
        <f>IFERROR(INDEX('Tabelas de Análise'!$J$4:$K$20, MATCH("N/A",'Tabelas de Análise'!$J$4:$J$20,FALSE),2),"")</f>
        <v>42</v>
      </c>
    </row>
    <row r="7" spans="1:21" x14ac:dyDescent="0.25">
      <c r="D7" s="37" t="s">
        <v>89</v>
      </c>
      <c r="E7" s="38"/>
      <c r="F7" s="26">
        <f>INDEX('Tabelas de Análise'!$P$3:$Q$20, MATCH("Licença-médica",'Tabelas de Análise'!$P$3:$P$20,FALSE),2)</f>
        <v>128</v>
      </c>
      <c r="I7" s="30" t="s">
        <v>92</v>
      </c>
      <c r="J7" s="33" t="str">
        <f>IF(SUM('Tabelas de Análise'!$K$4:$K$20)=$K7, IF(I7='Tabelas de Análise'!$J$4, 1, 0),"0")</f>
        <v>0</v>
      </c>
      <c r="K7" s="30">
        <f>IFERROR(INDEX('Tabelas de Análise'!$J$4:$K$20, MATCH("Múltiplos",'Tabelas de Análise'!$J$4:$J$20,FALSE),2),"")</f>
        <v>45</v>
      </c>
    </row>
    <row r="8" spans="1:21" x14ac:dyDescent="0.25">
      <c r="I8" s="30" t="s">
        <v>97</v>
      </c>
      <c r="J8" s="33" t="str">
        <f>IF(SUM('Tabelas de Análise'!$K$4:$K$20)=$K8, IF(I8='Tabelas de Análise'!$J$4, 1, 0),"0")</f>
        <v>0</v>
      </c>
      <c r="K8" s="30" t="s">
        <v>97</v>
      </c>
    </row>
    <row r="9" spans="1:21" x14ac:dyDescent="0.25">
      <c r="D9" s="39" t="s">
        <v>101</v>
      </c>
      <c r="E9" s="40"/>
      <c r="F9" s="41"/>
      <c r="I9" s="30" t="s">
        <v>90</v>
      </c>
      <c r="J9" s="33" t="str">
        <f>IF(SUM('Tabelas de Análise'!$K$4:$K$20)=$K9, IF(I9='Tabelas de Análise'!$J$4, 1, 0),"0")</f>
        <v>0</v>
      </c>
      <c r="K9" s="30">
        <f>IFERROR(INDEX('Tabelas de Análise'!$J$4:$K$20, MATCH("Pernas",'Tabelas de Análise'!$J$4:$J$20,FALSE),2),"")</f>
        <v>46</v>
      </c>
    </row>
    <row r="10" spans="1:21" x14ac:dyDescent="0.25">
      <c r="D10" s="51" t="str">
        <f>IFERROR(CONCATENATE('Tabelas de Apoio'!$D$4,CHAR(10),'Tabelas de Apoio'!$F$4), "Quase Acidente")</f>
        <v>Quase Acidente
139</v>
      </c>
      <c r="E10" s="52"/>
      <c r="F10" s="53"/>
      <c r="I10" s="30" t="s">
        <v>91</v>
      </c>
      <c r="J10" s="33" t="str">
        <f>IF(SUM('Tabelas de Análise'!$K$4:$K$20)=$K10, IF(I10='Tabelas de Análise'!$J$4, 1, 0),"0")</f>
        <v>0</v>
      </c>
      <c r="K10" s="30">
        <f>IFERROR(INDEX('Tabelas de Análise'!$J$4:$K$20, MATCH("Pescoço",'Tabelas de Análise'!$J$4:$J$20,FALSE),2),"")</f>
        <v>30</v>
      </c>
    </row>
    <row r="11" spans="1:21" x14ac:dyDescent="0.25">
      <c r="D11" s="51" t="str">
        <f>IFERROR(CONCATENATE('Tabelas de Apoio'!$D$5,CHAR(10),'Tabelas de Apoio'!$F$5), "Tempo Perdido")</f>
        <v>Tempo perdido
133</v>
      </c>
      <c r="E11" s="52"/>
      <c r="F11" s="53"/>
      <c r="I11" s="30" t="s">
        <v>93</v>
      </c>
      <c r="J11" s="33" t="str">
        <f>IF(SUM('Tabelas de Análise'!$K$4:$K$20)=$K11, IF(I11='Tabelas de Análise'!$J$4, 1, 0),"0")</f>
        <v>0</v>
      </c>
      <c r="K11" s="30">
        <f>IFERROR(INDEX('Tabelas de Análise'!$J$4:$K$20, MATCH("Pés",'Tabelas de Análise'!$J$4:$J$20,FALSE),2),"")</f>
        <v>49</v>
      </c>
    </row>
    <row r="12" spans="1:21" x14ac:dyDescent="0.25">
      <c r="D12" s="51" t="str">
        <f>IFERROR(CONCATENATE('Tabelas de Apoio'!$D$6,CHAR(10),'Tabelas de Apoio'!$F$6),"Primeiros-Socorros")</f>
        <v>Primeiros-Socorros
114</v>
      </c>
      <c r="E12" s="52"/>
      <c r="F12" s="53"/>
      <c r="I12" s="30" t="s">
        <v>95</v>
      </c>
      <c r="J12" s="33" t="str">
        <f>IF(SUM('Tabelas de Análise'!$K$4:$K$20)=$K12, IF(I12='Tabelas de Análise'!$J$4, 1, 0),"0")</f>
        <v>0</v>
      </c>
      <c r="K12" s="30">
        <f>IFERROR(INDEX('Tabelas de Análise'!$J$4:$K$20, MATCH("Braços",'Tabelas de Análise'!$J$4:$J$20,FALSE),2),"")</f>
        <v>83</v>
      </c>
    </row>
    <row r="13" spans="1:21" x14ac:dyDescent="0.25">
      <c r="D13" s="51" t="str">
        <f>IFERROR(CONCATENATE('Tabelas de Apoio'!$D$7,CHAR(10),'Tabelas de Apoio'!$F$7), "Licença-Médica")</f>
        <v>Licença-Médica
128</v>
      </c>
      <c r="E13" s="52"/>
      <c r="F13" s="53"/>
      <c r="I13" s="30" t="s">
        <v>97</v>
      </c>
      <c r="J13" s="33" t="str">
        <f>IF(SUM('Tabelas de Análise'!$K$4:$K$20)=$K13, IF(I13='Tabelas de Análise'!$J$4, 1, 0),"0")</f>
        <v>0</v>
      </c>
      <c r="K13" s="30" t="s">
        <v>97</v>
      </c>
    </row>
    <row r="14" spans="1:21" x14ac:dyDescent="0.25">
      <c r="I14" s="30" t="s">
        <v>97</v>
      </c>
      <c r="J14" s="33" t="str">
        <f>IF(SUM('Tabelas de Análise'!$K$4:$K$20)=$K14, IF(I14='Tabelas de Análise'!$J$4, 1, 0),"0")</f>
        <v>0</v>
      </c>
      <c r="K14" s="30" t="s">
        <v>97</v>
      </c>
    </row>
    <row r="15" spans="1:21" x14ac:dyDescent="0.25">
      <c r="I15" s="30" t="s">
        <v>94</v>
      </c>
      <c r="J15" s="33" t="str">
        <f>IF(SUM('Tabelas de Análise'!$K$4:$K$20)=$K15, IF(I15='Tabelas de Análise'!$J$4, 1, 0),"0")</f>
        <v>0</v>
      </c>
      <c r="K15" s="30">
        <f>IFERROR(INDEX('Tabelas de Análise'!$J$4:$K$20, MATCH("Cabeça",'Tabelas de Análise'!$J$4:$J$20,FALSE),2),"")</f>
        <v>89</v>
      </c>
    </row>
    <row r="16" spans="1:21" x14ac:dyDescent="0.25">
      <c r="I16" s="30" t="s">
        <v>96</v>
      </c>
      <c r="J16" s="33" t="str">
        <f>IF(SUM('Tabelas de Análise'!$K$4:$K$20)=$K16, IF(I16='Tabelas de Análise'!$J$4, 1, 0),"0")</f>
        <v>0</v>
      </c>
      <c r="K16" s="31">
        <f>IFERROR(INDEX('Tabelas de Análise'!$J$4:$K$20, MATCH("Tronco",'Tabelas de Análise'!$J$4:$J$20,FALSE),2),"")</f>
        <v>91</v>
      </c>
    </row>
    <row r="17" spans="9:11" x14ac:dyDescent="0.25">
      <c r="I17" s="55" t="s">
        <v>105</v>
      </c>
      <c r="J17" s="56"/>
      <c r="K17" s="32">
        <f>SUM('Tabelas de Análise'!K4:K20)</f>
        <v>514</v>
      </c>
    </row>
  </sheetData>
  <mergeCells count="14">
    <mergeCell ref="I17:J17"/>
    <mergeCell ref="A1:M1"/>
    <mergeCell ref="A3:B3"/>
    <mergeCell ref="D4:E4"/>
    <mergeCell ref="D5:E5"/>
    <mergeCell ref="D6:E6"/>
    <mergeCell ref="I3:K3"/>
    <mergeCell ref="D12:F12"/>
    <mergeCell ref="D13:F13"/>
    <mergeCell ref="D7:E7"/>
    <mergeCell ref="D3:F3"/>
    <mergeCell ref="D10:F10"/>
    <mergeCell ref="D11:F11"/>
    <mergeCell ref="D9:F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Índice</vt:lpstr>
      <vt:lpstr>Dashboard</vt:lpstr>
      <vt:lpstr>Tabelas de Análise</vt:lpstr>
      <vt:lpstr>Base de Dados</vt:lpstr>
      <vt:lpstr>Tabelas de Apoio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Windows User</cp:lastModifiedBy>
  <dcterms:created xsi:type="dcterms:W3CDTF">2007-06-16T02:38:31Z</dcterms:created>
  <dcterms:modified xsi:type="dcterms:W3CDTF">2021-02-22T23:03:30Z</dcterms:modified>
</cp:coreProperties>
</file>